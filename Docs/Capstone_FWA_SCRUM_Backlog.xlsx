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Users\USUARIO\Desktop\Capstone-FWA\Docs\"/>
    </mc:Choice>
  </mc:AlternateContent>
  <xr:revisionPtr revIDLastSave="0" documentId="13_ncr:1_{3AC23462-A704-4BF5-BD11-BDD8F6C7FD12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G15" i="5"/>
  <c r="G14" i="5"/>
  <c r="G13" i="5"/>
  <c r="J50" i="1" s="1"/>
  <c r="G12" i="5"/>
  <c r="G11" i="5"/>
  <c r="J48" i="1" s="1"/>
  <c r="G10" i="5"/>
  <c r="H5" i="5"/>
  <c r="H4" i="5"/>
  <c r="H3" i="5"/>
  <c r="H2" i="5"/>
  <c r="G19" i="4"/>
  <c r="J46" i="1" s="1"/>
  <c r="G18" i="4"/>
  <c r="G17" i="4"/>
  <c r="J44" i="1" s="1"/>
  <c r="G16" i="4"/>
  <c r="G15" i="4"/>
  <c r="G14" i="4"/>
  <c r="G13" i="4"/>
  <c r="J40" i="1" s="1"/>
  <c r="G12" i="4"/>
  <c r="J39" i="1" s="1"/>
  <c r="G11" i="4"/>
  <c r="J38" i="1" s="1"/>
  <c r="G10" i="4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I48" i="1"/>
  <c r="M47" i="1"/>
  <c r="L47" i="1"/>
  <c r="K47" i="1"/>
  <c r="J47" i="1"/>
  <c r="I47" i="1"/>
  <c r="M46" i="1"/>
  <c r="L46" i="1"/>
  <c r="K46" i="1"/>
  <c r="I46" i="1"/>
  <c r="M45" i="1"/>
  <c r="L45" i="1"/>
  <c r="K45" i="1"/>
  <c r="J45" i="1"/>
  <c r="I45" i="1"/>
  <c r="M44" i="1"/>
  <c r="L44" i="1"/>
  <c r="K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Q5" i="1" s="1"/>
  <c r="J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6" i="1" l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<sst xmlns="http://schemas.openxmlformats.org/spreadsheetml/2006/main" count="883" uniqueCount="255">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</sst>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29" zoomScale="69" zoomScaleNormal="85" workbookViewId="0">
      <selection activeCell="H34" sqref="H34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26</v>
      </c>
      <c r="G4" s="1" t="s">
        <v>9</v>
      </c>
      <c r="H4" s="2">
        <f>COUNTIF(K11:K94,"Pendiente")</f>
        <v>58</v>
      </c>
      <c r="I4" s="1" t="s">
        <v>10</v>
      </c>
      <c r="J4" s="2">
        <f>SUM(I11:I94)</f>
        <v>36</v>
      </c>
      <c r="K4" s="1" t="s">
        <v>11</v>
      </c>
      <c r="L4" s="2">
        <f>SUM(J11:J94)</f>
        <v>101.5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 ht="15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9.2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 ht="29.2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 ht="15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>Felipe</v>
      </c>
      <c r="M37" s="4" t="str">
        <f>IF('Sprint 3'!K10="","",'Sprint 3'!K10)</f>
        <v/>
      </c>
    </row>
    <row r="38" spans="1:13" ht="28.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>Felipe</v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>Felipe</v>
      </c>
      <c r="M39" s="4" t="str">
        <f>IF('Sprint 3'!K12="","",'Sprint 3'!K12)</f>
        <v/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 t="str">
        <f>IF('Sprint 3'!F13="","",'Sprint 3'!F13)</f>
        <v/>
      </c>
      <c r="J40" s="6">
        <f>'Sprint 3'!G13</f>
        <v>2</v>
      </c>
      <c r="K40" s="4" t="str">
        <f>'Sprint 3'!H13</f>
        <v>Pendiente</v>
      </c>
      <c r="L40" s="4" t="str">
        <f>IF('Sprint 3'!C13="","",'Sprint 3'!C13)</f>
        <v>Jhon</v>
      </c>
      <c r="M40" s="4" t="str">
        <f>IF('Sprint 3'!K13="","",'Sprint 3'!K13)</f>
        <v/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 t="str">
        <f>IF('Sprint 3'!F14="","",'Sprint 3'!F14)</f>
        <v/>
      </c>
      <c r="J41" s="6">
        <f>'Sprint 3'!G14</f>
        <v>2</v>
      </c>
      <c r="K41" s="4" t="str">
        <f>'Sprint 3'!H14</f>
        <v>Pendiente</v>
      </c>
      <c r="L41" s="4" t="str">
        <f>IF('Sprint 3'!C14="","",'Sprint 3'!C14)</f>
        <v>Jhon</v>
      </c>
      <c r="M41" s="4" t="str">
        <f>IF('Sprint 3'!K14="","",'Sprint 3'!K14)</f>
        <v/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>Emanuel</v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>Emanuel</v>
      </c>
      <c r="M43" s="4" t="str">
        <f>IF('Sprint 3'!K16="","",'Sprint 3'!K16)</f>
        <v/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 t="str">
        <f>IF('Sprint 3'!F17="","",'Sprint 3'!F17)</f>
        <v/>
      </c>
      <c r="J44" s="6">
        <f>'Sprint 3'!G17</f>
        <v>1</v>
      </c>
      <c r="K44" s="4" t="str">
        <f>'Sprint 3'!H17</f>
        <v>Pendiente</v>
      </c>
      <c r="L44" s="4" t="str">
        <f>IF('Sprint 3'!C17="","",'Sprint 3'!C17)</f>
        <v>Jhon</v>
      </c>
      <c r="M44" s="4" t="str">
        <f>IF('Sprint 3'!K17="","",'Sprint 3'!K17)</f>
        <v/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>Felipe</v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>Emanuel</v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5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 ht="15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9.2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9.2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 ht="15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4" priority="5">
      <formula>AND($H19="Finalizado",$F19="")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abSelected="1" topLeftCell="A3" zoomScale="80" zoomScaleNormal="80" workbookViewId="0">
      <selection activeCell="C23" sqref="C23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17.5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8.5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 ht="28.5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/>
      <c r="G17" s="6">
        <f t="shared" si="0"/>
        <v>1</v>
      </c>
      <c r="H17" s="4" t="s">
        <v>221</v>
      </c>
      <c r="I17" s="5"/>
      <c r="J17" s="5"/>
      <c r="K17" s="4"/>
    </row>
    <row r="18" spans="1:11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8.5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FELIPE MACIAS RODRIGUEZ</cp:lastModifiedBy>
  <dcterms:created xsi:type="dcterms:W3CDTF">2026-08-16T21:44:24Z</dcterms:created>
  <dcterms:modified xsi:type="dcterms:W3CDTF">2026-09-14T01:08:25Z</dcterms:modified>
</cp:coreProperties>
</file>