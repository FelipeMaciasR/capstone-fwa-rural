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Usuarios\USUARIO\Escritorio\Capstone-FWA\Docs\"/>
    </mc:Choice>
  </mc:AlternateContent>
  <xr:revisionPtr revIDLastSave="0" documentId="13_ncr:1_{FF9CD0EF-5397-43C3-9958-38B1967CE7B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H6" i="7"/>
  <c r="H5" i="7"/>
  <c r="H4" i="7"/>
  <c r="H3" i="7"/>
  <c r="H2" i="7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H6" i="6" s="1"/>
  <c r="G11" i="6"/>
  <c r="G10" i="6"/>
  <c r="H5" i="6"/>
  <c r="H4" i="6"/>
  <c r="H3" i="6"/>
  <c r="H2" i="6"/>
  <c r="G19" i="5"/>
  <c r="G18" i="5"/>
  <c r="G17" i="5"/>
  <c r="G16" i="5"/>
  <c r="G15" i="5"/>
  <c r="G14" i="5"/>
  <c r="G13" i="5"/>
  <c r="J50" i="1" s="1"/>
  <c r="G12" i="5"/>
  <c r="G11" i="5"/>
  <c r="G10" i="5"/>
  <c r="H6" i="5" s="1"/>
  <c r="H5" i="5"/>
  <c r="H4" i="5"/>
  <c r="H3" i="5"/>
  <c r="H2" i="5"/>
  <c r="G19" i="4"/>
  <c r="G18" i="4"/>
  <c r="G17" i="4"/>
  <c r="G16" i="4"/>
  <c r="G15" i="4"/>
  <c r="G14" i="4"/>
  <c r="G13" i="4"/>
  <c r="J40" i="1" s="1"/>
  <c r="G12" i="4"/>
  <c r="J39" i="1" s="1"/>
  <c r="G11" i="4"/>
  <c r="G10" i="4"/>
  <c r="H6" i="4" s="1"/>
  <c r="H5" i="4"/>
  <c r="H4" i="4"/>
  <c r="H3" i="4"/>
  <c r="H2" i="4"/>
  <c r="G23" i="3"/>
  <c r="G22" i="3"/>
  <c r="G21" i="3"/>
  <c r="G20" i="3"/>
  <c r="G19" i="3"/>
  <c r="G18" i="3"/>
  <c r="G17" i="3"/>
  <c r="J30" i="1" s="1"/>
  <c r="G16" i="3"/>
  <c r="J29" i="1" s="1"/>
  <c r="G15" i="3"/>
  <c r="H6" i="3" s="1"/>
  <c r="G14" i="3"/>
  <c r="G13" i="3"/>
  <c r="G12" i="3"/>
  <c r="G11" i="3"/>
  <c r="G10" i="3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J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Q7" i="1" s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Q6" i="1" s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I30" i="1"/>
  <c r="M29" i="1"/>
  <c r="L29" i="1"/>
  <c r="K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Q4" i="1" s="1"/>
  <c r="J23" i="1"/>
  <c r="I23" i="1"/>
  <c r="M22" i="1"/>
  <c r="L22" i="1"/>
  <c r="K22" i="1"/>
  <c r="I22" i="1"/>
  <c r="M21" i="1"/>
  <c r="L21" i="1"/>
  <c r="K21" i="1"/>
  <c r="J21" i="1"/>
  <c r="I21" i="1"/>
  <c r="J4" i="1" s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F4" i="1" s="1"/>
  <c r="M11" i="1"/>
  <c r="L11" i="1"/>
  <c r="K11" i="1"/>
  <c r="Q8" i="1"/>
  <c r="P8" i="1"/>
  <c r="O8" i="1"/>
  <c r="P7" i="1"/>
  <c r="O7" i="1"/>
  <c r="P6" i="1"/>
  <c r="O6" i="1"/>
  <c r="Q5" i="1"/>
  <c r="P5" i="1"/>
  <c r="O5" i="1"/>
  <c r="P4" i="1"/>
  <c r="O4" i="1"/>
  <c r="H4" i="1"/>
  <c r="D4" i="1"/>
  <c r="B4" i="1"/>
  <c r="O3" i="1"/>
  <c r="H6" i="2" l="1"/>
  <c r="J11" i="1"/>
  <c r="L4" i="1"/>
  <c r="Q3" i="1"/>
</calcChain>
</file>

<file path=xl/sharedStrings.xml><?xml version="1.0" encoding="utf-8"?>
<sst xmlns="http://schemas.openxmlformats.org/spreadsheetml/2006/main" count="793" uniqueCount="250">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</sst>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14" zoomScale="69" zoomScaleNormal="85" workbookViewId="0">
      <selection activeCell="B75" sqref="B75:D94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12</v>
      </c>
      <c r="G4" s="1" t="s">
        <v>9</v>
      </c>
      <c r="H4" s="2">
        <f>COUNTIF(K11:K94,"Pendiente")</f>
        <v>72</v>
      </c>
      <c r="I4" s="1" t="s">
        <v>10</v>
      </c>
      <c r="J4" s="2">
        <f>SUM(I11:I94)</f>
        <v>12.5</v>
      </c>
      <c r="K4" s="1" t="s">
        <v>11</v>
      </c>
      <c r="L4" s="2">
        <f>SUM(J11:J94)</f>
        <v>125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0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/>
      <c r="G11" s="4"/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/>
      <c r="G12" s="4"/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/>
      <c r="G13" s="4"/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/>
      <c r="G14" s="4"/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/>
      <c r="G15" s="4"/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/>
      <c r="G16" s="4"/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/>
      <c r="G17" s="4"/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/>
      <c r="G18" s="4"/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/>
      <c r="G19" s="4"/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/>
      <c r="G20" s="4"/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 xml:space="preserve">Felipe 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/>
      <c r="G21" s="4"/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/>
      <c r="G22" s="4"/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8.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/>
      <c r="G23" s="4"/>
      <c r="H23" s="6">
        <v>1</v>
      </c>
      <c r="I23" s="6" t="str">
        <f>IF('Sprint 2'!F10="","",'Sprint 2'!F10)</f>
        <v/>
      </c>
      <c r="J23" s="6">
        <f>'Sprint 2'!G10</f>
        <v>1</v>
      </c>
      <c r="K23" s="4" t="str">
        <f>'Sprint 2'!H10</f>
        <v>Pendiente</v>
      </c>
      <c r="L23" s="4" t="str">
        <f>IF('Sprint 2'!C10="","",'Sprint 2'!C10)</f>
        <v/>
      </c>
      <c r="M23" s="4" t="str">
        <f>IF('Sprint 2'!K10="","",'Sprint 2'!K10)</f>
        <v/>
      </c>
    </row>
    <row r="24" spans="1:13" ht="28.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/>
      <c r="G24" s="4"/>
      <c r="H24" s="6">
        <v>2</v>
      </c>
      <c r="I24" s="6" t="str">
        <f>IF('Sprint 2'!F11="","",'Sprint 2'!F11)</f>
        <v/>
      </c>
      <c r="J24" s="6">
        <f>'Sprint 2'!G11</f>
        <v>2</v>
      </c>
      <c r="K24" s="4" t="str">
        <f>'Sprint 2'!H11</f>
        <v>Pendiente</v>
      </c>
      <c r="L24" s="4" t="str">
        <f>IF('Sprint 2'!C11="","",'Sprint 2'!C11)</f>
        <v/>
      </c>
      <c r="M24" s="4" t="str">
        <f>IF('Sprint 2'!K11="","",'Sprint 2'!K11)</f>
        <v/>
      </c>
    </row>
    <row r="25" spans="1:13" ht="28.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/>
      <c r="G25" s="4"/>
      <c r="H25" s="6">
        <v>2</v>
      </c>
      <c r="I25" s="6" t="str">
        <f>IF('Sprint 2'!F12="","",'Sprint 2'!F12)</f>
        <v/>
      </c>
      <c r="J25" s="6">
        <f>'Sprint 2'!G12</f>
        <v>2</v>
      </c>
      <c r="K25" s="4" t="str">
        <f>'Sprint 2'!H12</f>
        <v>Pendiente</v>
      </c>
      <c r="L25" s="4" t="str">
        <f>IF('Sprint 2'!C12="","",'Sprint 2'!C12)</f>
        <v/>
      </c>
      <c r="M25" s="4" t="str">
        <f>IF('Sprint 2'!K12="","",'Sprint 2'!K12)</f>
        <v/>
      </c>
    </row>
    <row r="26" spans="1:13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/>
      <c r="G26" s="4"/>
      <c r="H26" s="6">
        <v>1</v>
      </c>
      <c r="I26" s="6" t="str">
        <f>IF('Sprint 2'!F13="","",'Sprint 2'!F13)</f>
        <v/>
      </c>
      <c r="J26" s="6">
        <f>'Sprint 2'!G13</f>
        <v>1</v>
      </c>
      <c r="K26" s="4" t="str">
        <f>'Sprint 2'!H13</f>
        <v>Pendiente</v>
      </c>
      <c r="L26" s="4" t="str">
        <f>IF('Sprint 2'!C13="","",'Sprint 2'!C13)</f>
        <v/>
      </c>
      <c r="M26" s="4" t="str">
        <f>IF('Sprint 2'!K13="","",'Sprint 2'!K13)</f>
        <v/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/>
      <c r="G27" s="4"/>
      <c r="H27" s="6">
        <v>1.5</v>
      </c>
      <c r="I27" s="6" t="str">
        <f>IF('Sprint 2'!F14="","",'Sprint 2'!F14)</f>
        <v/>
      </c>
      <c r="J27" s="6">
        <f>'Sprint 2'!G14</f>
        <v>1.5</v>
      </c>
      <c r="K27" s="4" t="str">
        <f>'Sprint 2'!H14</f>
        <v>Pendiente</v>
      </c>
      <c r="L27" s="4" t="str">
        <f>IF('Sprint 2'!C14="","",'Sprint 2'!C14)</f>
        <v/>
      </c>
      <c r="M27" s="4" t="str">
        <f>IF('Sprint 2'!K14="","",'Sprint 2'!K14)</f>
        <v/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/>
      <c r="G28" s="4"/>
      <c r="H28" s="6">
        <v>2</v>
      </c>
      <c r="I28" s="6" t="str">
        <f>IF('Sprint 2'!F15="","",'Sprint 2'!F15)</f>
        <v/>
      </c>
      <c r="J28" s="6">
        <f>'Sprint 2'!G15</f>
        <v>2</v>
      </c>
      <c r="K28" s="4" t="str">
        <f>'Sprint 2'!H15</f>
        <v>Pendiente</v>
      </c>
      <c r="L28" s="4" t="str">
        <f>IF('Sprint 2'!C15="","",'Sprint 2'!C15)</f>
        <v/>
      </c>
      <c r="M28" s="4" t="str">
        <f>IF('Sprint 2'!K15="","",'Sprint 2'!K15)</f>
        <v/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/>
      <c r="G29" s="4"/>
      <c r="H29" s="6">
        <v>1.5</v>
      </c>
      <c r="I29" s="6" t="str">
        <f>IF('Sprint 2'!F16="","",'Sprint 2'!F16)</f>
        <v/>
      </c>
      <c r="J29" s="6">
        <f>'Sprint 2'!G16</f>
        <v>1.5</v>
      </c>
      <c r="K29" s="4" t="str">
        <f>'Sprint 2'!H16</f>
        <v>Pendiente</v>
      </c>
      <c r="L29" s="4" t="str">
        <f>IF('Sprint 2'!C16="","",'Sprint 2'!C16)</f>
        <v/>
      </c>
      <c r="M29" s="4" t="str">
        <f>IF('Sprint 2'!K16="","",'Sprint 2'!K16)</f>
        <v/>
      </c>
    </row>
    <row r="30" spans="1:13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/>
      <c r="G30" s="4"/>
      <c r="H30" s="6">
        <v>2</v>
      </c>
      <c r="I30" s="6" t="str">
        <f>IF('Sprint 2'!F17="","",'Sprint 2'!F17)</f>
        <v/>
      </c>
      <c r="J30" s="6">
        <f>'Sprint 2'!G17</f>
        <v>2</v>
      </c>
      <c r="K30" s="4" t="str">
        <f>'Sprint 2'!H17</f>
        <v>Pendiente</v>
      </c>
      <c r="L30" s="4" t="str">
        <f>IF('Sprint 2'!C17="","",'Sprint 2'!C17)</f>
        <v/>
      </c>
      <c r="M30" s="4" t="str">
        <f>IF('Sprint 2'!K17="","",'Sprint 2'!K17)</f>
        <v/>
      </c>
    </row>
    <row r="31" spans="1:13" ht="28.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/>
      <c r="G31" s="4"/>
      <c r="H31" s="6">
        <v>1.5</v>
      </c>
      <c r="I31" s="6" t="str">
        <f>IF('Sprint 2'!F18="","",'Sprint 2'!F18)</f>
        <v/>
      </c>
      <c r="J31" s="6">
        <f>'Sprint 2'!G18</f>
        <v>1.5</v>
      </c>
      <c r="K31" s="4" t="str">
        <f>'Sprint 2'!H18</f>
        <v>Pendiente</v>
      </c>
      <c r="L31" s="4" t="str">
        <f>IF('Sprint 2'!C18="","",'Sprint 2'!C18)</f>
        <v/>
      </c>
      <c r="M31" s="4" t="str">
        <f>IF('Sprint 2'!K18="","",'Sprint 2'!K18)</f>
        <v/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/>
      <c r="G32" s="4"/>
      <c r="H32" s="6">
        <v>2</v>
      </c>
      <c r="I32" s="6" t="str">
        <f>IF('Sprint 2'!F19="","",'Sprint 2'!F19)</f>
        <v/>
      </c>
      <c r="J32" s="6">
        <f>'Sprint 2'!G19</f>
        <v>2</v>
      </c>
      <c r="K32" s="4" t="str">
        <f>'Sprint 2'!H19</f>
        <v>Pendiente</v>
      </c>
      <c r="L32" s="4" t="str">
        <f>IF('Sprint 2'!C19="","",'Sprint 2'!C19)</f>
        <v/>
      </c>
      <c r="M32" s="4" t="str">
        <f>IF('Sprint 2'!K19="","",'Sprint 2'!K19)</f>
        <v/>
      </c>
    </row>
    <row r="33" spans="1:13" ht="28.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/>
      <c r="G33" s="4"/>
      <c r="H33" s="6">
        <v>2</v>
      </c>
      <c r="I33" s="6" t="str">
        <f>IF('Sprint 2'!F20="","",'Sprint 2'!F20)</f>
        <v/>
      </c>
      <c r="J33" s="6">
        <f>'Sprint 2'!G20</f>
        <v>2</v>
      </c>
      <c r="K33" s="4" t="str">
        <f>'Sprint 2'!H20</f>
        <v>Pendiente</v>
      </c>
      <c r="L33" s="4" t="str">
        <f>IF('Sprint 2'!C20="","",'Sprint 2'!C20)</f>
        <v/>
      </c>
      <c r="M33" s="4" t="str">
        <f>IF('Sprint 2'!K20="","",'Sprint 2'!K20)</f>
        <v/>
      </c>
    </row>
    <row r="34" spans="1:13" ht="28.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/>
      <c r="G34" s="4"/>
      <c r="H34" s="6">
        <v>1.5</v>
      </c>
      <c r="I34" s="6" t="str">
        <f>IF('Sprint 2'!F21="","",'Sprint 2'!F21)</f>
        <v/>
      </c>
      <c r="J34" s="6">
        <f>'Sprint 2'!G21</f>
        <v>1.5</v>
      </c>
      <c r="K34" s="4" t="str">
        <f>'Sprint 2'!H21</f>
        <v>Pendiente</v>
      </c>
      <c r="L34" s="4" t="str">
        <f>IF('Sprint 2'!C21="","",'Sprint 2'!C21)</f>
        <v/>
      </c>
      <c r="M34" s="4" t="str">
        <f>IF('Sprint 2'!K21="","",'Sprint 2'!K21)</f>
        <v/>
      </c>
    </row>
    <row r="35" spans="1:13" ht="28.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/>
      <c r="G35" s="4"/>
      <c r="H35" s="6">
        <v>2</v>
      </c>
      <c r="I35" s="6" t="str">
        <f>IF('Sprint 2'!F22="","",'Sprint 2'!F22)</f>
        <v/>
      </c>
      <c r="J35" s="6">
        <f>'Sprint 2'!G22</f>
        <v>2</v>
      </c>
      <c r="K35" s="4" t="str">
        <f>'Sprint 2'!H22</f>
        <v>Pendiente</v>
      </c>
      <c r="L35" s="4" t="str">
        <f>IF('Sprint 2'!C22="","",'Sprint 2'!C22)</f>
        <v/>
      </c>
      <c r="M35" s="4" t="str">
        <f>IF('Sprint 2'!K22="","",'Sprint 2'!K22)</f>
        <v/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/>
      <c r="G36" s="4"/>
      <c r="H36" s="6">
        <v>1.5</v>
      </c>
      <c r="I36" s="6" t="str">
        <f>IF('Sprint 2'!F23="","",'Sprint 2'!F23)</f>
        <v/>
      </c>
      <c r="J36" s="6">
        <f>'Sprint 2'!G23</f>
        <v>1.5</v>
      </c>
      <c r="K36" s="4" t="str">
        <f>'Sprint 2'!H23</f>
        <v>Pendiente</v>
      </c>
      <c r="L36" s="4" t="str">
        <f>IF('Sprint 2'!C23="","",'Sprint 2'!C23)</f>
        <v/>
      </c>
      <c r="M36" s="4" t="str">
        <f>IF('Sprint 2'!K23="","",'Sprint 2'!K23)</f>
        <v/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abSelected="1" topLeftCell="A2" zoomScale="80" zoomScaleNormal="80" workbookViewId="0">
      <selection activeCell="C21" sqref="C21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246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zoomScale="80" zoomScaleNormal="80" workbookViewId="0">
      <selection activeCell="B6" sqref="B6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0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0</v>
      </c>
    </row>
    <row r="6" spans="1:11" ht="16.5">
      <c r="G6" s="1" t="s">
        <v>210</v>
      </c>
      <c r="H6" s="2">
        <f>SUM(G10:G23)</f>
        <v>23.5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56</v>
      </c>
      <c r="B10" s="4" t="s">
        <v>57</v>
      </c>
      <c r="C10" s="4"/>
      <c r="D10" s="4" t="s">
        <v>32</v>
      </c>
      <c r="E10" s="6">
        <v>1</v>
      </c>
      <c r="F10" s="6"/>
      <c r="G10" s="6">
        <f t="shared" ref="G10:G23" si="0">IF(H10="Finalizado",0,MAX(E10-IF(F10="",0,F10),0))</f>
        <v>1</v>
      </c>
      <c r="H10" s="4" t="s">
        <v>221</v>
      </c>
      <c r="I10" s="5"/>
      <c r="J10" s="5"/>
      <c r="K10" s="4"/>
    </row>
    <row r="11" spans="1:11" ht="28.5">
      <c r="A11" s="4" t="s">
        <v>58</v>
      </c>
      <c r="B11" s="4" t="s">
        <v>59</v>
      </c>
      <c r="C11" s="4"/>
      <c r="D11" s="4" t="s">
        <v>32</v>
      </c>
      <c r="E11" s="6">
        <v>2</v>
      </c>
      <c r="F11" s="6"/>
      <c r="G11" s="6">
        <f t="shared" si="0"/>
        <v>2</v>
      </c>
      <c r="H11" s="4" t="s">
        <v>221</v>
      </c>
      <c r="I11" s="5"/>
      <c r="J11" s="5"/>
      <c r="K11" s="4"/>
    </row>
    <row r="12" spans="1:11" ht="28.5">
      <c r="A12" s="4" t="s">
        <v>60</v>
      </c>
      <c r="B12" s="4" t="s">
        <v>61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62</v>
      </c>
      <c r="B13" s="4" t="s">
        <v>63</v>
      </c>
      <c r="C13" s="4"/>
      <c r="D13" s="4" t="s">
        <v>32</v>
      </c>
      <c r="E13" s="6">
        <v>1</v>
      </c>
      <c r="F13" s="6"/>
      <c r="G13" s="6">
        <f t="shared" si="0"/>
        <v>1</v>
      </c>
      <c r="H13" s="4" t="s">
        <v>221</v>
      </c>
      <c r="I13" s="5"/>
      <c r="J13" s="5"/>
      <c r="K13" s="4"/>
    </row>
    <row r="14" spans="1:11">
      <c r="A14" s="4" t="s">
        <v>64</v>
      </c>
      <c r="B14" s="4" t="s">
        <v>65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66</v>
      </c>
      <c r="B15" s="4" t="s">
        <v>67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68</v>
      </c>
      <c r="B16" s="4" t="s">
        <v>69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70</v>
      </c>
      <c r="B17" s="4" t="s">
        <v>71</v>
      </c>
      <c r="C17" s="4"/>
      <c r="D17" s="4" t="s">
        <v>32</v>
      </c>
      <c r="E17" s="6">
        <v>2</v>
      </c>
      <c r="F17" s="6"/>
      <c r="G17" s="6">
        <f t="shared" si="0"/>
        <v>2</v>
      </c>
      <c r="H17" s="4" t="s">
        <v>221</v>
      </c>
      <c r="I17" s="5"/>
      <c r="J17" s="5"/>
      <c r="K17" s="4"/>
    </row>
    <row r="18" spans="1:11" ht="28.5">
      <c r="A18" s="4" t="s">
        <v>72</v>
      </c>
      <c r="B18" s="4" t="s">
        <v>73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74</v>
      </c>
      <c r="B19" s="4" t="s">
        <v>75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  <row r="20" spans="1:11" ht="28.5">
      <c r="A20" s="4" t="s">
        <v>76</v>
      </c>
      <c r="B20" s="4" t="s">
        <v>77</v>
      </c>
      <c r="C20" s="4"/>
      <c r="D20" s="4" t="s">
        <v>32</v>
      </c>
      <c r="E20" s="6">
        <v>2</v>
      </c>
      <c r="F20" s="6"/>
      <c r="G20" s="6">
        <f t="shared" si="0"/>
        <v>2</v>
      </c>
      <c r="H20" s="4" t="s">
        <v>221</v>
      </c>
      <c r="I20" s="5"/>
      <c r="J20" s="5"/>
      <c r="K20" s="4"/>
    </row>
    <row r="21" spans="1:11" ht="28.5">
      <c r="A21" s="4" t="s">
        <v>78</v>
      </c>
      <c r="B21" s="4" t="s">
        <v>79</v>
      </c>
      <c r="C21" s="4"/>
      <c r="D21" s="4" t="s">
        <v>55</v>
      </c>
      <c r="E21" s="6">
        <v>1.5</v>
      </c>
      <c r="F21" s="6"/>
      <c r="G21" s="6">
        <f t="shared" si="0"/>
        <v>1.5</v>
      </c>
      <c r="H21" s="4" t="s">
        <v>221</v>
      </c>
      <c r="I21" s="5"/>
      <c r="J21" s="5"/>
      <c r="K21" s="4"/>
    </row>
    <row r="22" spans="1:11" ht="28.5">
      <c r="A22" s="4" t="s">
        <v>80</v>
      </c>
      <c r="B22" s="4" t="s">
        <v>81</v>
      </c>
      <c r="C22" s="4"/>
      <c r="D22" s="4" t="s">
        <v>55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82</v>
      </c>
      <c r="B23" s="4" t="s">
        <v>83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3">
    <cfRule type="expression" dxfId="24" priority="5">
      <formula>AND($H10="Finalizado",$F10="")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2026-08-22T21:00:43Z</dcterms:modified>
</cp:coreProperties>
</file>