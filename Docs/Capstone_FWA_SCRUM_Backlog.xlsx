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sers\USUARIO\Desktop\Capstone-FWA\Docs\"/>
    </mc:Choice>
  </mc:AlternateContent>
  <xr:revisionPtr revIDLastSave="0" documentId="13_ncr:1_{2B3FEFF9-139A-4CA3-BD5A-4A6B05AAB566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J55" i="1" s="1"/>
  <c r="G17" i="5"/>
  <c r="J54" i="1" s="1"/>
  <c r="G16" i="5"/>
  <c r="J53" i="1" s="1"/>
  <c r="G15" i="5"/>
  <c r="J52" i="1" s="1"/>
  <c r="G14" i="5"/>
  <c r="J51" i="1" s="1"/>
  <c r="G13" i="5"/>
  <c r="J50" i="1" s="1"/>
  <c r="G12" i="5"/>
  <c r="J49" i="1" s="1"/>
  <c r="G11" i="5"/>
  <c r="J48" i="1" s="1"/>
  <c r="G10" i="5"/>
  <c r="J47" i="1" s="1"/>
  <c r="H5" i="5"/>
  <c r="H4" i="5"/>
  <c r="H3" i="5"/>
  <c r="H2" i="5"/>
  <c r="G19" i="4"/>
  <c r="J46" i="1" s="1"/>
  <c r="G18" i="4"/>
  <c r="J45" i="1" s="1"/>
  <c r="G17" i="4"/>
  <c r="J44" i="1" s="1"/>
  <c r="G16" i="4"/>
  <c r="J43" i="1" s="1"/>
  <c r="G15" i="4"/>
  <c r="J42" i="1" s="1"/>
  <c r="G14" i="4"/>
  <c r="J41" i="1" s="1"/>
  <c r="G13" i="4"/>
  <c r="J40" i="1" s="1"/>
  <c r="G12" i="4"/>
  <c r="J39" i="1" s="1"/>
  <c r="G11" i="4"/>
  <c r="J38" i="1" s="1"/>
  <c r="G10" i="4"/>
  <c r="J37" i="1" s="1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I55" i="1"/>
  <c r="M54" i="1"/>
  <c r="L54" i="1"/>
  <c r="K54" i="1"/>
  <c r="I54" i="1"/>
  <c r="M53" i="1"/>
  <c r="L53" i="1"/>
  <c r="K53" i="1"/>
  <c r="I53" i="1"/>
  <c r="M52" i="1"/>
  <c r="L52" i="1"/>
  <c r="K52" i="1"/>
  <c r="I52" i="1"/>
  <c r="M51" i="1"/>
  <c r="L51" i="1"/>
  <c r="K51" i="1"/>
  <c r="I51" i="1"/>
  <c r="M50" i="1"/>
  <c r="L50" i="1"/>
  <c r="K50" i="1"/>
  <c r="I50" i="1"/>
  <c r="M49" i="1"/>
  <c r="L49" i="1"/>
  <c r="K49" i="1"/>
  <c r="I49" i="1"/>
  <c r="M48" i="1"/>
  <c r="L48" i="1"/>
  <c r="K48" i="1"/>
  <c r="I48" i="1"/>
  <c r="M47" i="1"/>
  <c r="L47" i="1"/>
  <c r="K47" i="1"/>
  <c r="I47" i="1"/>
  <c r="M46" i="1"/>
  <c r="L46" i="1"/>
  <c r="K46" i="1"/>
  <c r="I46" i="1"/>
  <c r="M45" i="1"/>
  <c r="L45" i="1"/>
  <c r="K45" i="1"/>
  <c r="I45" i="1"/>
  <c r="M44" i="1"/>
  <c r="L44" i="1"/>
  <c r="K44" i="1"/>
  <c r="I44" i="1"/>
  <c r="M43" i="1"/>
  <c r="L43" i="1"/>
  <c r="K43" i="1"/>
  <c r="I43" i="1"/>
  <c r="M42" i="1"/>
  <c r="L42" i="1"/>
  <c r="K42" i="1"/>
  <c r="I42" i="1"/>
  <c r="M41" i="1"/>
  <c r="L41" i="1"/>
  <c r="K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5" i="1" l="1"/>
  <c r="Q6" i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<sst xmlns="http://schemas.openxmlformats.org/spreadsheetml/2006/main" count="951" uniqueCount="256">
  <si>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</si>
  <si>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</si>
  <si>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</si>
  <si>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</si>
  <si>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</si>
  <si>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</si>
  <si>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</si>
  <si>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</si>
  <si>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</si>
  <si>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</si>
  <si>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</si>
  <si>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</si>
  <si>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</si>
  <si>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</si>
  <si>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</si>
  <si>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</si>
  <si>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</si>
  <si>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</si>
  <si>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</si>
  <si>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</si>
  <si>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</si>
  <si>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</si>
  <si>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</si>
  <si>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</si>
  <si>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</si>
  <si>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</si>
  <si>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</si>
  <si>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</si>
  <si>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</si>
  <si>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</si>
  <si>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</si>
  <si>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</si>
  <si>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</si>
  <si>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</si>
  <si>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</si>
  <si>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</si>
  <si>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</si>
  <si>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</si>
  <si>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</si>
  <si>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</si>
  <si>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</si>
  <si>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</si>
  <si>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</si>
  <si>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</si>
  <si>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</si>
  <si>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</si>
  <si>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</si>
  <si>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</si>
  <si>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</si>
  <si>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</si>
  <si>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</si>
  <si>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</si>
  <si>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</si>
  <si>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</si>
  <si>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</si>
  <si>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</si>
  <si>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</si>
  <si>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</si>
  <si>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</si>
  <si>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</si>
  <si>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</si>
  <si>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</si>
  <si>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</si>
  <si>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</si>
  <si>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</si>
  <si>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</si>
  <si>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</si>
  <si>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</si>
  <si>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</si>
  <si>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</si>
  <si>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</si>
  <si>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</si>
  <si>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</si>
  <si>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</si>
  <si>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</si>
  <si>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</si>
  <si>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</si>
  <si>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</si>
  <si>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</si>
  <si>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</si>
  <si>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</si>
  <si>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</si>
  <si>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</si>
  <si>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</si>
  <si>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</si>
  <si>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</si>
  <si>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</si>
  <si>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</si>
  <si>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</si>
  <si>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</si>
  <si>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</si>
  <si>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</si>
  <si>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</si>
  <si>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</si>
  <si>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</si>
  <si>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</si>
  <si>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</si>
  <si>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</si>
  <si>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</si>
  <si>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</si>
  <si>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</si>
  <si>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</si>
  <si>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</si>
  <si>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</si>
  <si>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</si>
  <si>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</si>
  <si>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</si>
  <si>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</si>
  <si>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</si>
  <si>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</si>
  <si>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</si>
  <si>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</si>
  <si>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</si>
  <si>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</si>
  <si>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</si>
  <si>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</si>
  <si>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</si>
  <si>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</si>
  <si>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</si>
  <si>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</si>
  <si>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</si>
  <si>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</si>
  <si>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</si>
  <si>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</si>
  <si>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</si>
  <si>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</si>
  <si>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</si>
  <si>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</si>
  <si>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</si>
  <si>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</si>
  <si>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</si>
  <si>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</si>
  <si>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</si>
  <si>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</si>
  <si>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</si>
  <si>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</si>
  <si>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</si>
  <si>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</si>
  <si>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</si>
  <si>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</si>
  <si>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</si>
  <si>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</si>
  <si>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</si>
  <si>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</si>
  <si>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</si>
  <si>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</si>
  <si>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</si>
  <si>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</si>
  <si>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</si>
  <si>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</si>
  <si>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</si>
  <si>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</si>
  <si>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</si>
  <si>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</si>
  <si>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</si>
  <si>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</si>
  <si>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</si>
  <si>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</si>
  <si>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</si>
  <si>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</si>
  <si>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</si>
  <si>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</si>
  <si>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</si>
  <si>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</si>
  <si>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</si>
  <si>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</si>
  <si>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</si>
  <si>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</si>
  <si>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</si>
  <si>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</si>
  <si>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</si>
  <si>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</si>
  <si>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</si>
  <si>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</si>
  <si>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</si>
  <si>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</si>
  <si>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</si>
  <si>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</si>
  <si>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</si>
  <si>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</si>
  <si>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</si>
  <si>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</si>
  <si>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</si>
  <si>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</si>
  <si>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</si>
  <si>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</si>
  <si>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</si>
  <si>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</si>
  <si>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</si>
  <si>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</si>
  <si>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</si>
  <si>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</si>
  <si>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</si>
  <si>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</si>
  <si>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</si>
  <si>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</si>
  <si>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</si>
  <si>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</si>
  <si>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</si>
  <si>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</si>
  <si>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</si>
  <si>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</si>
  <si>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</si>
  <si>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</si>
  <si>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</si>
  <si>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</si>
  <si>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</si>
  <si>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</si>
  <si>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</si>
  <si>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</si>
  <si>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</si>
  <si>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</si>
  <si>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</si>
  <si>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</si>
  <si>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</si>
  <si>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</si>
  <si>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</si>
  <si>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</si>
  <si>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</si>
  <si>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</si>
  <si>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</si>
  <si>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</si>
  <si>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</si>
  <si>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</si>
  <si>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</si>
  <si>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</si>
  <si>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</si>
  <si>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</si>
  <si>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</si>
  <si>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</si>
  <si>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</si>
  <si>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</si>
  <si>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</si>
  <si>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</si>
  <si>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</si>
  <si>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</si>
  <si>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</si>
  <si>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</si>
  <si>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</si>
  <si>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</si>
  <si>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</si>
  <si>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</si>
  <si>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</si>
  <si>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</si>
  <si>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</si>
  <si>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</si>
  <si>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</si>
  <si>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</si>
  <si>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</si>
  <si>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</si>
  <si>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</si>
  <si>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</si>
  <si>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</si>
  <si>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</si>
  <si>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</si>
  <si>
    <t>Terminado con éxito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</si>
</sst>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3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35" zoomScale="69" zoomScaleNormal="85" workbookViewId="0">
      <selection activeCell="I57" sqref="I57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46</v>
      </c>
      <c r="G4" s="1" t="s">
        <v>9</v>
      </c>
      <c r="H4" s="2">
        <f>COUNTIF(K11:K94,"Pendiente")</f>
        <v>38</v>
      </c>
      <c r="I4" s="1" t="s">
        <v>10</v>
      </c>
      <c r="J4" s="2">
        <f>SUM(I11:I94)</f>
        <v>75</v>
      </c>
      <c r="K4" s="1" t="s">
        <v>11</v>
      </c>
      <c r="L4" s="2">
        <f>SUM(J11:J94)</f>
        <v>61.5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10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10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 ht="15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9.2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 ht="29.2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 ht="15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 ht="15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 t="s">
        <v>251</v>
      </c>
      <c r="G37" s="4" t="s">
        <v>252</v>
      </c>
      <c r="H37" s="6">
        <v>2</v>
      </c>
      <c r="I37" s="6">
        <f>IF('Sprint 3'!F10="","",'Sprint 3'!F10)</f>
        <v>2</v>
      </c>
      <c r="J37" s="6">
        <f>'Sprint 3'!G10</f>
        <v>0</v>
      </c>
      <c r="K37" s="4" t="str">
        <f>'Sprint 3'!H10</f>
        <v>Finalizado</v>
      </c>
      <c r="L37" s="4" t="str">
        <f>IF('Sprint 3'!C10="","",'Sprint 3'!C10)</f>
        <v>Felipe</v>
      </c>
      <c r="M37" s="4" t="str">
        <f>IF('Sprint 3'!K10="","",'Sprint 3'!K10)</f>
        <v>Terminado con éxito</v>
      </c>
    </row>
    <row r="38" spans="1:13" ht="29.2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 t="s">
        <v>251</v>
      </c>
      <c r="G38" s="4" t="s">
        <v>252</v>
      </c>
      <c r="H38" s="6">
        <v>1.5</v>
      </c>
      <c r="I38" s="6">
        <f>IF('Sprint 3'!F11="","",'Sprint 3'!F11)</f>
        <v>1.5</v>
      </c>
      <c r="J38" s="6">
        <f>'Sprint 3'!G11</f>
        <v>0</v>
      </c>
      <c r="K38" s="4" t="str">
        <f>'Sprint 3'!H11</f>
        <v>Finalizado</v>
      </c>
      <c r="L38" s="4" t="str">
        <f>IF('Sprint 3'!C11="","",'Sprint 3'!C11)</f>
        <v>Felipe</v>
      </c>
      <c r="M38" s="4" t="str">
        <f>IF('Sprint 3'!K11="","",'Sprint 3'!K11)</f>
        <v>Terminado con éxito</v>
      </c>
    </row>
    <row r="39" spans="1:13" ht="15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 t="s">
        <v>251</v>
      </c>
      <c r="G39" s="4" t="s">
        <v>252</v>
      </c>
      <c r="H39" s="6">
        <v>3</v>
      </c>
      <c r="I39" s="6">
        <f>IF('Sprint 3'!F12="","",'Sprint 3'!F12)</f>
        <v>3</v>
      </c>
      <c r="J39" s="6">
        <f>'Sprint 3'!G12</f>
        <v>0</v>
      </c>
      <c r="K39" s="4" t="str">
        <f>'Sprint 3'!H12</f>
        <v>Finalizado</v>
      </c>
      <c r="L39" s="4" t="str">
        <f>IF('Sprint 3'!C12="","",'Sprint 3'!C12)</f>
        <v>Felipe</v>
      </c>
      <c r="M39" s="4" t="str">
        <f>IF('Sprint 3'!K12="","",'Sprint 3'!K12)</f>
        <v>Terminado con éxito</v>
      </c>
    </row>
    <row r="40" spans="1:13" ht="15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 t="s">
        <v>251</v>
      </c>
      <c r="G40" s="4" t="s">
        <v>252</v>
      </c>
      <c r="H40" s="6">
        <v>2</v>
      </c>
      <c r="I40" s="6">
        <f>IF('Sprint 3'!F13="","",'Sprint 3'!F13)</f>
        <v>2</v>
      </c>
      <c r="J40" s="6">
        <f>'Sprint 3'!G13</f>
        <v>0</v>
      </c>
      <c r="K40" s="4" t="str">
        <f>'Sprint 3'!H13</f>
        <v>Finalizado</v>
      </c>
      <c r="L40" s="4" t="str">
        <f>IF('Sprint 3'!C13="","",'Sprint 3'!C13)</f>
        <v>Jhon</v>
      </c>
      <c r="M40" s="4" t="str">
        <f>IF('Sprint 3'!K13="","",'Sprint 3'!K13)</f>
        <v>Terminado con éxito</v>
      </c>
    </row>
    <row r="41" spans="1:13" ht="15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 t="s">
        <v>251</v>
      </c>
      <c r="G41" s="4" t="s">
        <v>252</v>
      </c>
      <c r="H41" s="6">
        <v>2</v>
      </c>
      <c r="I41" s="6">
        <f>IF('Sprint 3'!F14="","",'Sprint 3'!F14)</f>
        <v>2</v>
      </c>
      <c r="J41" s="6">
        <f>'Sprint 3'!G14</f>
        <v>0</v>
      </c>
      <c r="K41" s="4" t="str">
        <f>'Sprint 3'!H14</f>
        <v>Finalizado</v>
      </c>
      <c r="L41" s="4" t="str">
        <f>IF('Sprint 3'!C14="","",'Sprint 3'!C14)</f>
        <v>Jhon</v>
      </c>
      <c r="M41" s="4" t="str">
        <f>IF('Sprint 3'!K14="","",'Sprint 3'!K14)</f>
        <v>Terminado con éxito</v>
      </c>
    </row>
    <row r="42" spans="1:13" ht="15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 t="s">
        <v>251</v>
      </c>
      <c r="G42" s="4" t="s">
        <v>252</v>
      </c>
      <c r="H42" s="6">
        <v>1.5</v>
      </c>
      <c r="I42" s="6">
        <f>IF('Sprint 3'!F15="","",'Sprint 3'!F15)</f>
        <v>1.5</v>
      </c>
      <c r="J42" s="6">
        <f>'Sprint 3'!G15</f>
        <v>0</v>
      </c>
      <c r="K42" s="4" t="str">
        <f>'Sprint 3'!H15</f>
        <v>Finalizado</v>
      </c>
      <c r="L42" s="4" t="str">
        <f>IF('Sprint 3'!C15="","",'Sprint 3'!C15)</f>
        <v>Emanuel</v>
      </c>
      <c r="M42" s="4" t="str">
        <f>IF('Sprint 3'!K15="","",'Sprint 3'!K15)</f>
        <v>Terminado con éxito</v>
      </c>
    </row>
    <row r="43" spans="1:13" ht="15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 t="s">
        <v>251</v>
      </c>
      <c r="G43" s="4" t="s">
        <v>252</v>
      </c>
      <c r="H43" s="6">
        <v>1.5</v>
      </c>
      <c r="I43" s="6">
        <f>IF('Sprint 3'!F16="","",'Sprint 3'!F16)</f>
        <v>1.5</v>
      </c>
      <c r="J43" s="6">
        <f>'Sprint 3'!G16</f>
        <v>0</v>
      </c>
      <c r="K43" s="4" t="str">
        <f>'Sprint 3'!H16</f>
        <v>Finalizado</v>
      </c>
      <c r="L43" s="4" t="str">
        <f>IF('Sprint 3'!C16="","",'Sprint 3'!C16)</f>
        <v>Emanuel</v>
      </c>
      <c r="M43" s="4" t="str">
        <f>IF('Sprint 3'!K16="","",'Sprint 3'!K16)</f>
        <v>Terminado con éxito</v>
      </c>
    </row>
    <row r="44" spans="1:13" ht="15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 t="s">
        <v>251</v>
      </c>
      <c r="G44" s="4" t="s">
        <v>252</v>
      </c>
      <c r="H44" s="6">
        <v>1</v>
      </c>
      <c r="I44" s="6">
        <f>IF('Sprint 3'!F17="","",'Sprint 3'!F17)</f>
        <v>1</v>
      </c>
      <c r="J44" s="6">
        <f>'Sprint 3'!G17</f>
        <v>0</v>
      </c>
      <c r="K44" s="4" t="str">
        <f>'Sprint 3'!H17</f>
        <v>Finalizado</v>
      </c>
      <c r="L44" s="4" t="str">
        <f>IF('Sprint 3'!C17="","",'Sprint 3'!C17)</f>
        <v>Jhon</v>
      </c>
      <c r="M44" s="4" t="str">
        <f>IF('Sprint 3'!K17="","",'Sprint 3'!K17)</f>
        <v>Terminado con éxito</v>
      </c>
    </row>
    <row r="45" spans="1:13" ht="15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 t="s">
        <v>251</v>
      </c>
      <c r="G45" s="4" t="s">
        <v>252</v>
      </c>
      <c r="H45" s="6">
        <v>1.5</v>
      </c>
      <c r="I45" s="6">
        <f>IF('Sprint 3'!F18="","",'Sprint 3'!F18)</f>
        <v>1.5</v>
      </c>
      <c r="J45" s="6">
        <f>'Sprint 3'!G18</f>
        <v>0</v>
      </c>
      <c r="K45" s="4" t="str">
        <f>'Sprint 3'!H18</f>
        <v>Finalizado</v>
      </c>
      <c r="L45" s="4" t="str">
        <f>IF('Sprint 3'!C18="","",'Sprint 3'!C18)</f>
        <v>Felipe</v>
      </c>
      <c r="M45" s="4" t="str">
        <f>IF('Sprint 3'!K18="","",'Sprint 3'!K18)</f>
        <v>Terminado con éxito</v>
      </c>
    </row>
    <row r="46" spans="1:13" ht="15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 t="s">
        <v>251</v>
      </c>
      <c r="G46" s="4" t="s">
        <v>252</v>
      </c>
      <c r="H46" s="6">
        <v>1.5</v>
      </c>
      <c r="I46" s="6">
        <f>IF('Sprint 3'!F19="","",'Sprint 3'!F19)</f>
        <v>1.5</v>
      </c>
      <c r="J46" s="6">
        <f>'Sprint 3'!G19</f>
        <v>0</v>
      </c>
      <c r="K46" s="4" t="str">
        <f>'Sprint 3'!H19</f>
        <v>Finalizado</v>
      </c>
      <c r="L46" s="4" t="str">
        <f>IF('Sprint 3'!C19="","",'Sprint 3'!C19)</f>
        <v>Emanuel</v>
      </c>
      <c r="M46" s="4" t="str">
        <f>IF('Sprint 3'!K19="","",'Sprint 3'!K19)</f>
        <v>Terminado con éxito</v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>
        <f>IF('Sprint 4'!F10="","",'Sprint 4'!F10)</f>
        <v>3</v>
      </c>
      <c r="J47" s="6">
        <f>'Sprint 4'!G10</f>
        <v>0</v>
      </c>
      <c r="K47" s="4" t="str">
        <f>'Sprint 4'!H10</f>
        <v>Finalizado</v>
      </c>
      <c r="L47" s="4" t="str">
        <f>IF('Sprint 4'!C10="","",'Sprint 4'!C10)</f>
        <v>Felipe</v>
      </c>
      <c r="M47" s="4" t="str">
        <f>IF('Sprint 4'!K10="","",'Sprint 4'!K10)</f>
        <v>Terminado con éxito</v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>
        <f>IF('Sprint 4'!F11="","",'Sprint 4'!F11)</f>
        <v>4</v>
      </c>
      <c r="J48" s="6">
        <f>'Sprint 4'!G11</f>
        <v>0</v>
      </c>
      <c r="K48" s="4" t="str">
        <f>'Sprint 4'!H11</f>
        <v>Finalizado</v>
      </c>
      <c r="L48" s="4" t="str">
        <f>IF('Sprint 4'!C11="","",'Sprint 4'!C11)</f>
        <v>Felipe</v>
      </c>
      <c r="M48" s="4" t="str">
        <f>IF('Sprint 4'!K11="","",'Sprint 4'!K11)</f>
        <v>Terminado con éxito</v>
      </c>
    </row>
    <row r="49" spans="1:13" ht="15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>
        <f>IF('Sprint 4'!F12="","",'Sprint 4'!F12)</f>
        <v>2</v>
      </c>
      <c r="J49" s="6">
        <f>'Sprint 4'!G12</f>
        <v>0</v>
      </c>
      <c r="K49" s="4" t="str">
        <f>'Sprint 4'!H12</f>
        <v>Finalizado</v>
      </c>
      <c r="L49" s="4" t="str">
        <f>IF('Sprint 4'!C12="","",'Sprint 4'!C12)</f>
        <v>Jhon</v>
      </c>
      <c r="M49" s="4" t="str">
        <f>IF('Sprint 4'!K12="","",'Sprint 4'!K12)</f>
        <v>Terminado con éxito</v>
      </c>
    </row>
    <row r="50" spans="1:13" ht="15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>
        <f>IF('Sprint 4'!F13="","",'Sprint 4'!F13)</f>
        <v>2</v>
      </c>
      <c r="J50" s="6">
        <f>'Sprint 4'!G13</f>
        <v>0</v>
      </c>
      <c r="K50" s="4" t="str">
        <f>'Sprint 4'!H13</f>
        <v>Finalizado</v>
      </c>
      <c r="L50" s="4" t="str">
        <f>IF('Sprint 4'!C13="","",'Sprint 4'!C13)</f>
        <v>Jhon</v>
      </c>
      <c r="M50" s="4" t="str">
        <f>IF('Sprint 4'!K13="","",'Sprint 4'!K13)</f>
        <v>Terminado con éxito</v>
      </c>
    </row>
    <row r="51" spans="1:13" ht="15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>
        <f>IF('Sprint 4'!F14="","",'Sprint 4'!F14)</f>
        <v>2</v>
      </c>
      <c r="J51" s="6">
        <f>'Sprint 4'!G14</f>
        <v>0</v>
      </c>
      <c r="K51" s="4" t="str">
        <f>'Sprint 4'!H14</f>
        <v>Finalizado</v>
      </c>
      <c r="L51" s="4" t="str">
        <f>IF('Sprint 4'!C14="","",'Sprint 4'!C14)</f>
        <v>Jhon</v>
      </c>
      <c r="M51" s="4" t="str">
        <f>IF('Sprint 4'!K14="","",'Sprint 4'!K14)</f>
        <v>Terminado con éxito</v>
      </c>
    </row>
    <row r="52" spans="1:13" ht="15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>
        <f>IF('Sprint 4'!F15="","",'Sprint 4'!F15)</f>
        <v>2</v>
      </c>
      <c r="J52" s="6">
        <f>'Sprint 4'!G15</f>
        <v>0</v>
      </c>
      <c r="K52" s="4" t="str">
        <f>'Sprint 4'!H15</f>
        <v>Finalizado</v>
      </c>
      <c r="L52" s="4" t="str">
        <f>IF('Sprint 4'!C15="","",'Sprint 4'!C15)</f>
        <v>Jhon</v>
      </c>
      <c r="M52" s="4" t="str">
        <f>IF('Sprint 4'!K15="","",'Sprint 4'!K15)</f>
        <v>Terminado con éxito</v>
      </c>
    </row>
    <row r="53" spans="1:13" ht="15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>
        <f>IF('Sprint 4'!F16="","",'Sprint 4'!F16)</f>
        <v>2</v>
      </c>
      <c r="J53" s="6">
        <f>'Sprint 4'!G16</f>
        <v>0</v>
      </c>
      <c r="K53" s="4" t="str">
        <f>'Sprint 4'!H16</f>
        <v>Finalizado</v>
      </c>
      <c r="L53" s="4" t="str">
        <f>IF('Sprint 4'!C16="","",'Sprint 4'!C16)</f>
        <v>Jhon</v>
      </c>
      <c r="M53" s="4" t="str">
        <f>IF('Sprint 4'!K16="","",'Sprint 4'!K16)</f>
        <v>Terminado con éxito</v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>
        <f>IF('Sprint 4'!F17="","",'Sprint 4'!F17)</f>
        <v>1</v>
      </c>
      <c r="J54" s="6">
        <f>'Sprint 4'!G17</f>
        <v>0</v>
      </c>
      <c r="K54" s="4" t="str">
        <f>'Sprint 4'!H17</f>
        <v>Finalizado</v>
      </c>
      <c r="L54" s="4" t="str">
        <f>IF('Sprint 4'!C17="","",'Sprint 4'!C17)</f>
        <v>Emanuel</v>
      </c>
      <c r="M54" s="4" t="str">
        <f>IF('Sprint 4'!K17="","",'Sprint 4'!K17)</f>
        <v>Terminado con éxito</v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>
        <f>IF('Sprint 4'!F18="","",'Sprint 4'!F18)</f>
        <v>1.5</v>
      </c>
      <c r="J55" s="6">
        <f>'Sprint 4'!G18</f>
        <v>0</v>
      </c>
      <c r="K55" s="4" t="str">
        <f>'Sprint 4'!H18</f>
        <v>Finalizado</v>
      </c>
      <c r="L55" s="4" t="str">
        <f>IF('Sprint 4'!C18="","",'Sprint 4'!C18)</f>
        <v>Emanuel</v>
      </c>
      <c r="M55" s="4" t="str">
        <f>IF('Sprint 4'!K18="","",'Sprint 4'!K18)</f>
        <v>Terminado con éxito</v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>
        <f>IF('Sprint 4'!F19="","",'Sprint 4'!F19)</f>
        <v>2</v>
      </c>
      <c r="J56" s="6">
        <f>'Sprint 4'!G19</f>
        <v>0</v>
      </c>
      <c r="K56" s="4" t="str">
        <f>'Sprint 4'!H19</f>
        <v>Finalizado</v>
      </c>
      <c r="L56" s="4" t="str">
        <f>IF('Sprint 4'!C19="","",'Sprint 4'!C19)</f>
        <v>Emanuel</v>
      </c>
      <c r="M56" s="4" t="str">
        <f>IF('Sprint 4'!K19="","",'Sprint 4'!K19)</f>
        <v>Terminado con éxito</v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>Felipe</v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>Felipe</v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>Felipe</v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>Felipe</v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>Felipe</v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>Felipe</v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>Felipe</v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>Emanuel</v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>Emanuel</v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>Emanuel</v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>Emanuel</v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>Emanuel</v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>Emanuel</v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>Jhon</v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>Jhon</v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>Jhon</v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>Jhon</v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>Jhon</v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2" priority="1">
      <formula>$K11="Finalizado"</formula>
    </cfRule>
    <cfRule type="expression" dxfId="31" priority="2">
      <formula>$K11="En progreso"</formula>
    </cfRule>
    <cfRule type="expression" dxfId="30" priority="3">
      <formula>$K11="Validación"</formula>
    </cfRule>
    <cfRule type="expression" dxfId="29" priority="4">
      <formula>$K11="Pendiente"</formula>
    </cfRule>
    <cfRule type="expression" dxfId="28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7" priority="1">
      <formula>$H10="Finalizado"</formula>
    </cfRule>
    <cfRule type="expression" dxfId="26" priority="2">
      <formula>$H10="En progreso"</formula>
    </cfRule>
    <cfRule type="expression" dxfId="25" priority="3">
      <formula>$H10="Validación"</formula>
    </cfRule>
    <cfRule type="expression" dxfId="24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5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 ht="15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9.2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9.2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 ht="15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3" priority="5">
      <formula>AND($H19="Finalizado",$F19="")</formula>
    </cfRule>
  </conditionalFormatting>
  <conditionalFormatting sqref="H10:H23">
    <cfRule type="expression" dxfId="22" priority="1">
      <formula>$H10="Finalizado"</formula>
    </cfRule>
    <cfRule type="expression" dxfId="21" priority="2">
      <formula>$H10="En progreso"</formula>
    </cfRule>
    <cfRule type="expression" dxfId="20" priority="3">
      <formula>$H10="Validación"</formula>
    </cfRule>
    <cfRule type="expression" dxfId="19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opLeftCell="B1" zoomScale="80" zoomScaleNormal="80" workbookViewId="0">
      <selection activeCell="K10" sqref="K10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17.5</v>
      </c>
    </row>
    <row r="6" spans="1:11" ht="16.5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>
        <v>2</v>
      </c>
      <c r="G10" s="6">
        <f t="shared" ref="G10:G19" si="0">IF(H10="Finalizado",0,MAX(E10-IF(F10="",0,F10),0))</f>
        <v>0</v>
      </c>
      <c r="H10" s="4" t="s">
        <v>220</v>
      </c>
      <c r="I10" s="5">
        <v>46277</v>
      </c>
      <c r="J10" s="5">
        <v>46280</v>
      </c>
      <c r="K10" s="4" t="s">
        <v>255</v>
      </c>
    </row>
    <row r="11" spans="1:11" ht="29.25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>
        <v>1.5</v>
      </c>
      <c r="G11" s="6">
        <f t="shared" si="0"/>
        <v>0</v>
      </c>
      <c r="H11" s="4" t="s">
        <v>220</v>
      </c>
      <c r="I11" s="5">
        <v>46277</v>
      </c>
      <c r="J11" s="5">
        <v>46280</v>
      </c>
      <c r="K11" s="4" t="s">
        <v>255</v>
      </c>
    </row>
    <row r="12" spans="1:11" ht="15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>
        <v>3</v>
      </c>
      <c r="G12" s="6">
        <f t="shared" si="0"/>
        <v>0</v>
      </c>
      <c r="H12" s="4" t="s">
        <v>220</v>
      </c>
      <c r="I12" s="5">
        <v>46277</v>
      </c>
      <c r="J12" s="5">
        <v>46280</v>
      </c>
      <c r="K12" s="4" t="s">
        <v>255</v>
      </c>
    </row>
    <row r="13" spans="1:11" ht="15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46280</v>
      </c>
      <c r="J13" s="5">
        <v>46282</v>
      </c>
      <c r="K13" s="4" t="s">
        <v>255</v>
      </c>
    </row>
    <row r="14" spans="1:11" ht="15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46280</v>
      </c>
      <c r="J14" s="5">
        <v>46282</v>
      </c>
      <c r="K14" s="4" t="s">
        <v>255</v>
      </c>
    </row>
    <row r="15" spans="1:11" ht="15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46281</v>
      </c>
      <c r="J15" s="5">
        <v>46285</v>
      </c>
      <c r="K15" s="4" t="s">
        <v>255</v>
      </c>
    </row>
    <row r="16" spans="1:11" ht="29.25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46281</v>
      </c>
      <c r="J16" s="5">
        <v>46285</v>
      </c>
      <c r="K16" s="4" t="s">
        <v>255</v>
      </c>
    </row>
    <row r="17" spans="1:11" ht="15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46281</v>
      </c>
      <c r="J17" s="5">
        <v>46282</v>
      </c>
      <c r="K17" s="4" t="s">
        <v>255</v>
      </c>
    </row>
    <row r="18" spans="1:11" ht="15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>
        <v>1.5</v>
      </c>
      <c r="G18" s="6">
        <f>IF(H18="Finalizado",0,MAX(E18-IF(F18="",0,F18),0))</f>
        <v>0</v>
      </c>
      <c r="H18" s="4" t="s">
        <v>220</v>
      </c>
      <c r="I18" s="5">
        <v>46277</v>
      </c>
      <c r="J18" s="5">
        <v>46285</v>
      </c>
      <c r="K18" s="4" t="s">
        <v>255</v>
      </c>
    </row>
    <row r="19" spans="1:11" ht="29.25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>
        <v>1.5</v>
      </c>
      <c r="G19" s="6">
        <f t="shared" si="0"/>
        <v>0</v>
      </c>
      <c r="H19" s="4" t="s">
        <v>220</v>
      </c>
      <c r="I19" s="5">
        <v>46281</v>
      </c>
      <c r="J19" s="5">
        <v>46285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tabSelected="1" topLeftCell="A7" zoomScale="80" zoomScaleNormal="80" workbookViewId="0">
      <selection activeCell="K23" sqref="K23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21.5</v>
      </c>
    </row>
    <row r="6" spans="1:11" ht="16.5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104</v>
      </c>
      <c r="B10" s="4" t="s">
        <v>105</v>
      </c>
      <c r="C10" s="4" t="s">
        <v>253</v>
      </c>
      <c r="D10" s="4" t="s">
        <v>32</v>
      </c>
      <c r="E10" s="6">
        <v>3</v>
      </c>
      <c r="F10" s="6">
        <v>3</v>
      </c>
      <c r="G10" s="6">
        <f t="shared" ref="G10:G19" si="0">IF(H10="Finalizado",0,MAX(E10-IF(F10="",0,F10),0))</f>
        <v>0</v>
      </c>
      <c r="H10" s="4" t="s">
        <v>220</v>
      </c>
      <c r="I10" s="5">
        <v>46293</v>
      </c>
      <c r="J10" s="5">
        <v>46294</v>
      </c>
      <c r="K10" s="4" t="s">
        <v>255</v>
      </c>
    </row>
    <row r="11" spans="1:11" ht="15">
      <c r="A11" s="4" t="s">
        <v>106</v>
      </c>
      <c r="B11" s="4" t="s">
        <v>107</v>
      </c>
      <c r="C11" s="4" t="s">
        <v>253</v>
      </c>
      <c r="D11" s="4" t="s">
        <v>32</v>
      </c>
      <c r="E11" s="6">
        <v>4</v>
      </c>
      <c r="F11" s="6">
        <v>4</v>
      </c>
      <c r="G11" s="6">
        <f t="shared" si="0"/>
        <v>0</v>
      </c>
      <c r="H11" s="4" t="s">
        <v>220</v>
      </c>
      <c r="I11" s="5">
        <v>46294</v>
      </c>
      <c r="J11" s="5">
        <v>46295</v>
      </c>
      <c r="K11" s="4" t="s">
        <v>255</v>
      </c>
    </row>
    <row r="12" spans="1:11" ht="15">
      <c r="A12" s="4" t="s">
        <v>108</v>
      </c>
      <c r="B12" s="4" t="s">
        <v>109</v>
      </c>
      <c r="C12" s="4" t="s">
        <v>250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46302</v>
      </c>
      <c r="J12" s="5">
        <v>46304</v>
      </c>
      <c r="K12" s="4" t="s">
        <v>255</v>
      </c>
    </row>
    <row r="13" spans="1:11" ht="15">
      <c r="A13" s="4" t="s">
        <v>110</v>
      </c>
      <c r="B13" s="4" t="s">
        <v>111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46302</v>
      </c>
      <c r="J13" s="5">
        <v>46304</v>
      </c>
      <c r="K13" s="4" t="s">
        <v>255</v>
      </c>
    </row>
    <row r="14" spans="1:11" ht="15">
      <c r="A14" s="4" t="s">
        <v>112</v>
      </c>
      <c r="B14" s="4" t="s">
        <v>113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46302</v>
      </c>
      <c r="J14" s="5">
        <v>46304</v>
      </c>
      <c r="K14" s="4" t="s">
        <v>255</v>
      </c>
    </row>
    <row r="15" spans="1:11" ht="15">
      <c r="A15" s="4" t="s">
        <v>114</v>
      </c>
      <c r="B15" s="4" t="s">
        <v>115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46302</v>
      </c>
      <c r="J15" s="5">
        <v>46304</v>
      </c>
      <c r="K15" s="4" t="s">
        <v>255</v>
      </c>
    </row>
    <row r="16" spans="1:11" ht="15">
      <c r="A16" s="4" t="s">
        <v>116</v>
      </c>
      <c r="B16" s="4" t="s">
        <v>117</v>
      </c>
      <c r="C16" s="4" t="s">
        <v>250</v>
      </c>
      <c r="D16" s="4" t="s">
        <v>32</v>
      </c>
      <c r="E16" s="6">
        <v>2</v>
      </c>
      <c r="F16" s="6">
        <v>2</v>
      </c>
      <c r="G16" s="6">
        <f t="shared" si="0"/>
        <v>0</v>
      </c>
      <c r="H16" s="4" t="s">
        <v>220</v>
      </c>
      <c r="I16" s="5">
        <v>46302</v>
      </c>
      <c r="J16" s="5">
        <v>46304</v>
      </c>
      <c r="K16" s="4" t="s">
        <v>255</v>
      </c>
    </row>
    <row r="17" spans="1:11" ht="29.25">
      <c r="A17" s="4" t="s">
        <v>118</v>
      </c>
      <c r="B17" s="4" t="s">
        <v>119</v>
      </c>
      <c r="C17" s="4" t="s">
        <v>254</v>
      </c>
      <c r="D17" s="4" t="s">
        <v>32</v>
      </c>
      <c r="E17" s="6">
        <v>1.5</v>
      </c>
      <c r="F17" s="6">
        <v>1</v>
      </c>
      <c r="G17" s="6">
        <f t="shared" si="0"/>
        <v>0</v>
      </c>
      <c r="H17" s="4" t="s">
        <v>220</v>
      </c>
      <c r="I17" s="5">
        <v>46304</v>
      </c>
      <c r="J17" s="5">
        <v>46305</v>
      </c>
      <c r="K17" s="4" t="s">
        <v>255</v>
      </c>
    </row>
    <row r="18" spans="1:11" ht="29.25">
      <c r="A18" s="4" t="s">
        <v>120</v>
      </c>
      <c r="B18" s="4" t="s">
        <v>121</v>
      </c>
      <c r="C18" s="4" t="s">
        <v>254</v>
      </c>
      <c r="D18" s="4" t="s">
        <v>55</v>
      </c>
      <c r="E18" s="6">
        <v>2</v>
      </c>
      <c r="F18" s="6">
        <v>1.5</v>
      </c>
      <c r="G18" s="6">
        <f t="shared" si="0"/>
        <v>0</v>
      </c>
      <c r="H18" s="4" t="s">
        <v>220</v>
      </c>
      <c r="I18" s="5">
        <v>46304</v>
      </c>
      <c r="J18" s="5">
        <v>46305</v>
      </c>
      <c r="K18" s="4" t="s">
        <v>255</v>
      </c>
    </row>
    <row r="19" spans="1:11" ht="29.25">
      <c r="A19" s="4" t="s">
        <v>122</v>
      </c>
      <c r="B19" s="4" t="s">
        <v>123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46304</v>
      </c>
      <c r="J19" s="5">
        <v>46305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7:F19">
    <cfRule type="expression" dxfId="14" priority="5">
      <formula>AND($H17="Finalizado",$F17="")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topLeftCell="A5" zoomScale="73" zoomScaleNormal="73" workbookViewId="0">
      <selection activeCell="C18" sqref="C18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 t="s">
        <v>253</v>
      </c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 t="s">
        <v>253</v>
      </c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 t="s">
        <v>253</v>
      </c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 t="s">
        <v>253</v>
      </c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 t="s">
        <v>253</v>
      </c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 t="s">
        <v>253</v>
      </c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 t="s">
        <v>253</v>
      </c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 t="s">
        <v>254</v>
      </c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 t="s">
        <v>254</v>
      </c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 t="s">
        <v>254</v>
      </c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 t="s">
        <v>254</v>
      </c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 t="s">
        <v>254</v>
      </c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 t="s">
        <v>254</v>
      </c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 t="s">
        <v>250</v>
      </c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 t="s">
        <v>250</v>
      </c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 t="s">
        <v>250</v>
      </c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 t="s">
        <v>250</v>
      </c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 t="s">
        <v>250</v>
      </c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FELIPE MACIAS RODRIGUEZ</cp:lastModifiedBy>
  <dcterms:created xsi:type="dcterms:W3CDTF">2026-08-16T21:44:24Z</dcterms:created>
  <dcterms:modified xsi:type="dcterms:W3CDTF">2026-10-12T17:54:50Z</dcterms:modified>
</cp:coreProperties>
</file>