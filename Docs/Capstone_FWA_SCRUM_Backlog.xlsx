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C:\Users\User\capstone-fwa-rural\Docs\"/>
    </mc:Choice>
  </mc:AlternateContent>
  <xr:revisionPtr revIDLastSave="0" documentId="13_ncr:1_{D80C1A00-4992-4A9C-BF9B-95AF753570CE}" xr6:coauthVersionLast="43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G15" i="5"/>
  <c r="G14" i="5"/>
  <c r="G13" i="5"/>
  <c r="J50" i="1" s="1"/>
  <c r="G12" i="5"/>
  <c r="G11" i="5"/>
  <c r="G10" i="5"/>
  <c r="H5" i="5"/>
  <c r="H4" i="5"/>
  <c r="H3" i="5"/>
  <c r="H2" i="5"/>
  <c r="G19" i="4"/>
  <c r="G18" i="4"/>
  <c r="G17" i="4"/>
  <c r="G16" i="4"/>
  <c r="G15" i="4"/>
  <c r="G14" i="4"/>
  <c r="G13" i="4"/>
  <c r="J40" i="1" s="1"/>
  <c r="G12" i="4"/>
  <c r="J39" i="1" s="1"/>
  <c r="G11" i="4"/>
  <c r="G10" i="4"/>
  <c r="H5" i="4"/>
  <c r="H4" i="4"/>
  <c r="H3" i="4"/>
  <c r="H2" i="4"/>
  <c r="G23" i="3"/>
  <c r="G22" i="3"/>
  <c r="G21" i="3"/>
  <c r="G20" i="3"/>
  <c r="J33" i="1" s="1"/>
  <c r="G19" i="3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Q6" i="1" s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I40" i="1"/>
  <c r="M39" i="1"/>
  <c r="L39" i="1"/>
  <c r="K39" i="1"/>
  <c r="I39" i="1"/>
  <c r="M38" i="1"/>
  <c r="L38" i="1"/>
  <c r="K38" i="1"/>
  <c r="J38" i="1"/>
  <c r="I38" i="1"/>
  <c r="M37" i="1"/>
  <c r="L37" i="1"/>
  <c r="K37" i="1"/>
  <c r="Q5" i="1" s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I33" i="1"/>
  <c r="M32" i="1"/>
  <c r="L32" i="1"/>
  <c r="K32" i="1"/>
  <c r="J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Q8" i="1"/>
  <c r="P8" i="1"/>
  <c r="O8" i="1"/>
  <c r="P7" i="1"/>
  <c r="O7" i="1"/>
  <c r="P6" i="1"/>
  <c r="O6" i="1"/>
  <c r="P5" i="1"/>
  <c r="O5" i="1"/>
  <c r="P4" i="1"/>
  <c r="O4" i="1"/>
  <c r="D4" i="1"/>
  <c r="B4" i="1"/>
  <c r="O3" i="1"/>
  <c r="H4" i="1" l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<sst xmlns="http://schemas.openxmlformats.org/spreadsheetml/2006/main" count="841" uniqueCount="255">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</sst>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16" zoomScale="69" zoomScaleNormal="85" workbookViewId="0">
      <selection activeCell="M23" sqref="M23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 t="s">
        <v>1</v>
      </c>
      <c r="O1" s="8"/>
      <c r="P1" s="8"/>
      <c r="Q1" s="8"/>
    </row>
    <row r="2" spans="1:17" ht="33.950000000000003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22</v>
      </c>
      <c r="G4" s="1" t="s">
        <v>9</v>
      </c>
      <c r="H4" s="2">
        <f>COUNTIF(K11:K94,"Pendiente")</f>
        <v>62</v>
      </c>
      <c r="I4" s="1" t="s">
        <v>10</v>
      </c>
      <c r="J4" s="2">
        <f>SUM(I11:I94)</f>
        <v>29</v>
      </c>
      <c r="K4" s="1" t="s">
        <v>11</v>
      </c>
      <c r="L4" s="2">
        <f>SUM(J11:J94)</f>
        <v>108.5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10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/>
      <c r="G25" s="4"/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/>
      <c r="G26" s="4"/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/>
      <c r="G27" s="4"/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/>
      </c>
    </row>
    <row r="28" spans="1:13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/>
      <c r="G28" s="4"/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/>
      </c>
    </row>
    <row r="29" spans="1:13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/>
      <c r="G29" s="4"/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/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/>
      <c r="G30" s="4"/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/>
      <c r="G31" s="4"/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/>
      <c r="G32" s="4"/>
      <c r="H32" s="6">
        <v>2</v>
      </c>
      <c r="I32" s="6" t="str">
        <f>IF('Sprint 2'!F19="","",'Sprint 2'!F19)</f>
        <v/>
      </c>
      <c r="J32" s="6">
        <f>'Sprint 2'!G19</f>
        <v>2</v>
      </c>
      <c r="K32" s="4" t="str">
        <f>'Sprint 2'!H19</f>
        <v>Pendiente</v>
      </c>
      <c r="L32" s="4" t="str">
        <f>IF('Sprint 2'!C19="","",'Sprint 2'!C19)</f>
        <v>Emanuel</v>
      </c>
      <c r="M32" s="4" t="str">
        <f>IF('Sprint 2'!K19="","",'Sprint 2'!K19)</f>
        <v/>
      </c>
    </row>
    <row r="33" spans="1:13" ht="28.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/>
      <c r="G33" s="4"/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/>
      </c>
    </row>
    <row r="34" spans="1:13" ht="28.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/>
      <c r="G34" s="4"/>
      <c r="H34" s="6">
        <v>1.5</v>
      </c>
      <c r="I34" s="6" t="str">
        <f>IF('Sprint 2'!F21="","",'Sprint 2'!F21)</f>
        <v/>
      </c>
      <c r="J34" s="6">
        <f>'Sprint 2'!G21</f>
        <v>1.5</v>
      </c>
      <c r="K34" s="4" t="str">
        <f>'Sprint 2'!H21</f>
        <v>Pendiente</v>
      </c>
      <c r="L34" s="4" t="str">
        <f>IF('Sprint 2'!C21="","",'Sprint 2'!C21)</f>
        <v>Emanuel</v>
      </c>
      <c r="M34" s="4" t="str">
        <f>IF('Sprint 2'!K21="","",'Sprint 2'!K21)</f>
        <v/>
      </c>
    </row>
    <row r="35" spans="1:13" ht="28.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/>
      <c r="G35" s="4"/>
      <c r="H35" s="6">
        <v>2</v>
      </c>
      <c r="I35" s="6" t="str">
        <f>IF('Sprint 2'!F22="","",'Sprint 2'!F22)</f>
        <v/>
      </c>
      <c r="J35" s="6">
        <f>'Sprint 2'!G22</f>
        <v>2</v>
      </c>
      <c r="K35" s="4" t="str">
        <f>'Sprint 2'!H22</f>
        <v>Pendiente</v>
      </c>
      <c r="L35" s="4" t="str">
        <f>IF('Sprint 2'!C22="","",'Sprint 2'!C22)</f>
        <v>Emanuel</v>
      </c>
      <c r="M35" s="4" t="str">
        <f>IF('Sprint 2'!K22="","",'Sprint 2'!K22)</f>
        <v/>
      </c>
    </row>
    <row r="36" spans="1:13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/>
      <c r="G36" s="4"/>
      <c r="H36" s="6">
        <v>1.5</v>
      </c>
      <c r="I36" s="6" t="str">
        <f>IF('Sprint 2'!F23="","",'Sprint 2'!F23)</f>
        <v/>
      </c>
      <c r="J36" s="6">
        <f>'Sprint 2'!G23</f>
        <v>1.5</v>
      </c>
      <c r="K36" s="4" t="str">
        <f>'Sprint 2'!H23</f>
        <v>Pendiente</v>
      </c>
      <c r="L36" s="4" t="str">
        <f>IF('Sprint 2'!C23="","",'Sprint 2'!C23)</f>
        <v>Emanuel</v>
      </c>
      <c r="M36" s="4" t="str">
        <f>IF('Sprint 2'!K23="","",'Sprint 2'!K23)</f>
        <v/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/>
      </c>
      <c r="M37" s="4" t="str">
        <f>IF('Sprint 3'!K10="","",'Sprint 3'!K10)</f>
        <v/>
      </c>
    </row>
    <row r="38" spans="1:13" ht="28.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/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/>
      </c>
      <c r="M39" s="4" t="str">
        <f>IF('Sprint 3'!K12="","",'Sprint 3'!K12)</f>
        <v/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 t="str">
        <f>IF('Sprint 3'!F13="","",'Sprint 3'!F13)</f>
        <v/>
      </c>
      <c r="J40" s="6">
        <f>'Sprint 3'!G13</f>
        <v>2</v>
      </c>
      <c r="K40" s="4" t="str">
        <f>'Sprint 3'!H13</f>
        <v>Pendiente</v>
      </c>
      <c r="L40" s="4" t="str">
        <f>IF('Sprint 3'!C13="","",'Sprint 3'!C13)</f>
        <v/>
      </c>
      <c r="M40" s="4" t="str">
        <f>IF('Sprint 3'!K13="","",'Sprint 3'!K13)</f>
        <v/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 t="str">
        <f>IF('Sprint 3'!F14="","",'Sprint 3'!F14)</f>
        <v/>
      </c>
      <c r="J41" s="6">
        <f>'Sprint 3'!G14</f>
        <v>2</v>
      </c>
      <c r="K41" s="4" t="str">
        <f>'Sprint 3'!H14</f>
        <v>Pendiente</v>
      </c>
      <c r="L41" s="4" t="str">
        <f>IF('Sprint 3'!C14="","",'Sprint 3'!C14)</f>
        <v/>
      </c>
      <c r="M41" s="4" t="str">
        <f>IF('Sprint 3'!K14="","",'Sprint 3'!K14)</f>
        <v/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/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/>
      </c>
      <c r="M43" s="4" t="str">
        <f>IF('Sprint 3'!K16="","",'Sprint 3'!K16)</f>
        <v/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 t="str">
        <f>IF('Sprint 3'!F17="","",'Sprint 3'!F17)</f>
        <v/>
      </c>
      <c r="J44" s="6">
        <f>'Sprint 3'!G17</f>
        <v>1</v>
      </c>
      <c r="K44" s="4" t="str">
        <f>'Sprint 3'!H17</f>
        <v>Pendiente</v>
      </c>
      <c r="L44" s="4" t="str">
        <f>IF('Sprint 3'!C17="","",'Sprint 3'!C17)</f>
        <v/>
      </c>
      <c r="M44" s="4" t="str">
        <f>IF('Sprint 3'!K17="","",'Sprint 3'!K17)</f>
        <v/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/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/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8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abSelected="1" zoomScale="80" zoomScaleNormal="80" workbookViewId="0">
      <selection activeCell="F20" sqref="F20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8" t="s">
        <v>222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10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16.5</v>
      </c>
    </row>
    <row r="6" spans="1:11" ht="16.5">
      <c r="G6" s="1" t="s">
        <v>210</v>
      </c>
      <c r="H6" s="2">
        <f>SUM(G10:G23)</f>
        <v>7</v>
      </c>
    </row>
    <row r="7" spans="1:1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/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/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/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/>
    </row>
    <row r="21" spans="1:11" ht="28.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/>
      <c r="G21" s="6">
        <f t="shared" si="0"/>
        <v>1.5</v>
      </c>
      <c r="H21" s="4" t="s">
        <v>221</v>
      </c>
      <c r="I21" s="5"/>
      <c r="J21" s="5"/>
      <c r="K21" s="4"/>
    </row>
    <row r="22" spans="1:11" ht="28.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4" priority="5">
      <formula>AND($H19="Finalizado",$F19="")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8" t="s">
        <v>227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17.5</v>
      </c>
    </row>
    <row r="7" spans="1:1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/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8.5">
      <c r="A11" s="4" t="s">
        <v>86</v>
      </c>
      <c r="B11" s="4" t="s">
        <v>87</v>
      </c>
      <c r="C11" s="4"/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/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>
      <c r="A13" s="4" t="s">
        <v>90</v>
      </c>
      <c r="B13" s="4" t="s">
        <v>91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92</v>
      </c>
      <c r="B14" s="4" t="s">
        <v>93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94</v>
      </c>
      <c r="B15" s="4" t="s">
        <v>95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 ht="28.5">
      <c r="A16" s="4" t="s">
        <v>96</v>
      </c>
      <c r="B16" s="4" t="s">
        <v>97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98</v>
      </c>
      <c r="B17" s="4" t="s">
        <v>99</v>
      </c>
      <c r="C17" s="4"/>
      <c r="D17" s="4" t="s">
        <v>32</v>
      </c>
      <c r="E17" s="6">
        <v>1</v>
      </c>
      <c r="F17" s="6"/>
      <c r="G17" s="6">
        <f t="shared" si="0"/>
        <v>1</v>
      </c>
      <c r="H17" s="4" t="s">
        <v>221</v>
      </c>
      <c r="I17" s="5"/>
      <c r="J17" s="5"/>
      <c r="K17" s="4"/>
    </row>
    <row r="18" spans="1:11">
      <c r="A18" s="4" t="s">
        <v>100</v>
      </c>
      <c r="B18" s="4" t="s">
        <v>101</v>
      </c>
      <c r="C18" s="4"/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8.5">
      <c r="A19" s="4" t="s">
        <v>102</v>
      </c>
      <c r="B19" s="4" t="s">
        <v>103</v>
      </c>
      <c r="C19" s="4"/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8" t="s">
        <v>232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8" t="s">
        <v>236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8" t="s">
        <v>241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User</cp:lastModifiedBy>
  <dcterms:created xsi:type="dcterms:W3CDTF">2026-08-16T21:44:24Z</dcterms:created>
  <dcterms:modified xsi:type="dcterms:W3CDTF">2026-09-08T23:46:50Z</dcterms:modified>
</cp:coreProperties>
</file>