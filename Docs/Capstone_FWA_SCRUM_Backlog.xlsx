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rrios\Desktop\capstone-fwa-rural-main\capstone-fwa-rural-main\Docs\"/>
    </mc:Choice>
  </mc:AlternateContent>
  <xr:revisionPtr revIDLastSave="0" documentId="13_ncr:1_{05A173D2-E737-423E-8E74-9AC866E34BD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duct Backlog" sheetId="1" r:id="rId1"/>
    <sheet name="Sprint 1" sheetId="2" r:id="rId2"/>
    <sheet name="Sprint 2" sheetId="3" r:id="rId3"/>
    <sheet name="Sprint 3" sheetId="4" r:id="rId4"/>
    <sheet name="Sprint 4" sheetId="5" r:id="rId5"/>
    <sheet name="Sprint 5" sheetId="6" r:id="rId6"/>
    <sheet name="Sprint 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4" i="1"/>
  <c r="M25" i="1"/>
  <c r="M26" i="1"/>
  <c r="P3" i="1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H6" i="7" s="1"/>
  <c r="G13" i="7"/>
  <c r="G12" i="7"/>
  <c r="G11" i="7"/>
  <c r="G10" i="7"/>
  <c r="H5" i="7"/>
  <c r="H4" i="7"/>
  <c r="H3" i="7"/>
  <c r="H2" i="7"/>
  <c r="G27" i="6"/>
  <c r="G26" i="6"/>
  <c r="G25" i="6"/>
  <c r="G24" i="6"/>
  <c r="G23" i="6"/>
  <c r="G22" i="6"/>
  <c r="G21" i="6"/>
  <c r="J68" i="1" s="1"/>
  <c r="G20" i="6"/>
  <c r="G19" i="6"/>
  <c r="G18" i="6"/>
  <c r="G17" i="6"/>
  <c r="G16" i="6"/>
  <c r="G15" i="6"/>
  <c r="G14" i="6"/>
  <c r="G13" i="6"/>
  <c r="J60" i="1" s="1"/>
  <c r="G12" i="6"/>
  <c r="G11" i="6"/>
  <c r="G10" i="6"/>
  <c r="H5" i="6"/>
  <c r="H4" i="6"/>
  <c r="H3" i="6"/>
  <c r="H2" i="6"/>
  <c r="G19" i="5"/>
  <c r="J56" i="1" s="1"/>
  <c r="G18" i="5"/>
  <c r="J55" i="1" s="1"/>
  <c r="G17" i="5"/>
  <c r="J54" i="1" s="1"/>
  <c r="G16" i="5"/>
  <c r="J53" i="1" s="1"/>
  <c r="G15" i="5"/>
  <c r="J52" i="1" s="1"/>
  <c r="G14" i="5"/>
  <c r="J51" i="1" s="1"/>
  <c r="G13" i="5"/>
  <c r="J50" i="1" s="1"/>
  <c r="G12" i="5"/>
  <c r="J49" i="1" s="1"/>
  <c r="G11" i="5"/>
  <c r="J48" i="1" s="1"/>
  <c r="G10" i="5"/>
  <c r="H5" i="5"/>
  <c r="H4" i="5"/>
  <c r="H3" i="5"/>
  <c r="H2" i="5"/>
  <c r="G19" i="4"/>
  <c r="J46" i="1" s="1"/>
  <c r="G18" i="4"/>
  <c r="J45" i="1" s="1"/>
  <c r="G17" i="4"/>
  <c r="J44" i="1" s="1"/>
  <c r="G16" i="4"/>
  <c r="J43" i="1" s="1"/>
  <c r="G15" i="4"/>
  <c r="J42" i="1" s="1"/>
  <c r="G14" i="4"/>
  <c r="J41" i="1" s="1"/>
  <c r="G13" i="4"/>
  <c r="J40" i="1" s="1"/>
  <c r="G12" i="4"/>
  <c r="J39" i="1" s="1"/>
  <c r="G11" i="4"/>
  <c r="J38" i="1" s="1"/>
  <c r="G10" i="4"/>
  <c r="J37" i="1" s="1"/>
  <c r="H5" i="4"/>
  <c r="H4" i="4"/>
  <c r="H3" i="4"/>
  <c r="H2" i="4"/>
  <c r="G23" i="3"/>
  <c r="J36" i="1" s="1"/>
  <c r="G22" i="3"/>
  <c r="G21" i="3"/>
  <c r="J34" i="1" s="1"/>
  <c r="G20" i="3"/>
  <c r="J33" i="1" s="1"/>
  <c r="G19" i="3"/>
  <c r="J32" i="1" s="1"/>
  <c r="G18" i="3"/>
  <c r="J31" i="1" s="1"/>
  <c r="G17" i="3"/>
  <c r="J30" i="1" s="1"/>
  <c r="G16" i="3"/>
  <c r="J29" i="1" s="1"/>
  <c r="G15" i="3"/>
  <c r="J28" i="1" s="1"/>
  <c r="G14" i="3"/>
  <c r="J27" i="1" s="1"/>
  <c r="G13" i="3"/>
  <c r="G12" i="3"/>
  <c r="G11" i="3"/>
  <c r="J24" i="1" s="1"/>
  <c r="G10" i="3"/>
  <c r="J23" i="1" s="1"/>
  <c r="H5" i="3"/>
  <c r="H4" i="3"/>
  <c r="H3" i="3"/>
  <c r="H2" i="3"/>
  <c r="G21" i="2"/>
  <c r="J22" i="1" s="1"/>
  <c r="G20" i="2"/>
  <c r="G19" i="2"/>
  <c r="J20" i="1" s="1"/>
  <c r="G18" i="2"/>
  <c r="J19" i="1" s="1"/>
  <c r="G17" i="2"/>
  <c r="J18" i="1" s="1"/>
  <c r="G16" i="2"/>
  <c r="G15" i="2"/>
  <c r="J16" i="1" s="1"/>
  <c r="G14" i="2"/>
  <c r="G13" i="2"/>
  <c r="G12" i="2"/>
  <c r="G11" i="2"/>
  <c r="J12" i="1" s="1"/>
  <c r="G10" i="2"/>
  <c r="H5" i="2"/>
  <c r="H4" i="2"/>
  <c r="H3" i="2"/>
  <c r="H2" i="2"/>
  <c r="M94" i="1"/>
  <c r="L94" i="1"/>
  <c r="K94" i="1"/>
  <c r="J94" i="1"/>
  <c r="I94" i="1"/>
  <c r="M93" i="1"/>
  <c r="L93" i="1"/>
  <c r="K93" i="1"/>
  <c r="J93" i="1"/>
  <c r="I93" i="1"/>
  <c r="M92" i="1"/>
  <c r="L92" i="1"/>
  <c r="K92" i="1"/>
  <c r="J92" i="1"/>
  <c r="I92" i="1"/>
  <c r="M91" i="1"/>
  <c r="L91" i="1"/>
  <c r="K91" i="1"/>
  <c r="J91" i="1"/>
  <c r="I91" i="1"/>
  <c r="M90" i="1"/>
  <c r="L90" i="1"/>
  <c r="K90" i="1"/>
  <c r="J90" i="1"/>
  <c r="I90" i="1"/>
  <c r="M89" i="1"/>
  <c r="L89" i="1"/>
  <c r="K89" i="1"/>
  <c r="J89" i="1"/>
  <c r="I89" i="1"/>
  <c r="M88" i="1"/>
  <c r="L88" i="1"/>
  <c r="K88" i="1"/>
  <c r="J88" i="1"/>
  <c r="I88" i="1"/>
  <c r="M87" i="1"/>
  <c r="L87" i="1"/>
  <c r="K87" i="1"/>
  <c r="J87" i="1"/>
  <c r="I87" i="1"/>
  <c r="M86" i="1"/>
  <c r="L86" i="1"/>
  <c r="K86" i="1"/>
  <c r="J86" i="1"/>
  <c r="I86" i="1"/>
  <c r="M85" i="1"/>
  <c r="L85" i="1"/>
  <c r="K85" i="1"/>
  <c r="J85" i="1"/>
  <c r="I85" i="1"/>
  <c r="M84" i="1"/>
  <c r="L84" i="1"/>
  <c r="K84" i="1"/>
  <c r="J84" i="1"/>
  <c r="I84" i="1"/>
  <c r="M83" i="1"/>
  <c r="L83" i="1"/>
  <c r="K83" i="1"/>
  <c r="J83" i="1"/>
  <c r="I83" i="1"/>
  <c r="M82" i="1"/>
  <c r="L82" i="1"/>
  <c r="K82" i="1"/>
  <c r="J82" i="1"/>
  <c r="I82" i="1"/>
  <c r="M81" i="1"/>
  <c r="L81" i="1"/>
  <c r="K81" i="1"/>
  <c r="J81" i="1"/>
  <c r="I81" i="1"/>
  <c r="M80" i="1"/>
  <c r="L80" i="1"/>
  <c r="K80" i="1"/>
  <c r="J80" i="1"/>
  <c r="I80" i="1"/>
  <c r="M79" i="1"/>
  <c r="L79" i="1"/>
  <c r="K79" i="1"/>
  <c r="J79" i="1"/>
  <c r="I79" i="1"/>
  <c r="M78" i="1"/>
  <c r="L78" i="1"/>
  <c r="K78" i="1"/>
  <c r="Q8" i="1" s="1"/>
  <c r="J78" i="1"/>
  <c r="I78" i="1"/>
  <c r="M77" i="1"/>
  <c r="L77" i="1"/>
  <c r="K77" i="1"/>
  <c r="J77" i="1"/>
  <c r="I77" i="1"/>
  <c r="M76" i="1"/>
  <c r="L76" i="1"/>
  <c r="K76" i="1"/>
  <c r="J76" i="1"/>
  <c r="I76" i="1"/>
  <c r="M75" i="1"/>
  <c r="L75" i="1"/>
  <c r="K75" i="1"/>
  <c r="J75" i="1"/>
  <c r="I75" i="1"/>
  <c r="M74" i="1"/>
  <c r="L74" i="1"/>
  <c r="K74" i="1"/>
  <c r="J74" i="1"/>
  <c r="I74" i="1"/>
  <c r="M73" i="1"/>
  <c r="L73" i="1"/>
  <c r="K73" i="1"/>
  <c r="J73" i="1"/>
  <c r="I73" i="1"/>
  <c r="M72" i="1"/>
  <c r="L72" i="1"/>
  <c r="K72" i="1"/>
  <c r="J72" i="1"/>
  <c r="I72" i="1"/>
  <c r="M71" i="1"/>
  <c r="L71" i="1"/>
  <c r="K71" i="1"/>
  <c r="J71" i="1"/>
  <c r="I71" i="1"/>
  <c r="M70" i="1"/>
  <c r="L70" i="1"/>
  <c r="K70" i="1"/>
  <c r="J70" i="1"/>
  <c r="I70" i="1"/>
  <c r="M69" i="1"/>
  <c r="L69" i="1"/>
  <c r="K69" i="1"/>
  <c r="J69" i="1"/>
  <c r="I69" i="1"/>
  <c r="M68" i="1"/>
  <c r="L68" i="1"/>
  <c r="K68" i="1"/>
  <c r="I68" i="1"/>
  <c r="M67" i="1"/>
  <c r="L67" i="1"/>
  <c r="K67" i="1"/>
  <c r="J67" i="1"/>
  <c r="I67" i="1"/>
  <c r="M66" i="1"/>
  <c r="L66" i="1"/>
  <c r="K66" i="1"/>
  <c r="J66" i="1"/>
  <c r="I66" i="1"/>
  <c r="M65" i="1"/>
  <c r="L65" i="1"/>
  <c r="K65" i="1"/>
  <c r="J65" i="1"/>
  <c r="I65" i="1"/>
  <c r="M64" i="1"/>
  <c r="L64" i="1"/>
  <c r="K64" i="1"/>
  <c r="J64" i="1"/>
  <c r="I64" i="1"/>
  <c r="M63" i="1"/>
  <c r="L63" i="1"/>
  <c r="K63" i="1"/>
  <c r="J63" i="1"/>
  <c r="I63" i="1"/>
  <c r="M62" i="1"/>
  <c r="L62" i="1"/>
  <c r="K62" i="1"/>
  <c r="J62" i="1"/>
  <c r="I62" i="1"/>
  <c r="M61" i="1"/>
  <c r="L61" i="1"/>
  <c r="K61" i="1"/>
  <c r="J61" i="1"/>
  <c r="I61" i="1"/>
  <c r="M60" i="1"/>
  <c r="L60" i="1"/>
  <c r="K60" i="1"/>
  <c r="I60" i="1"/>
  <c r="M59" i="1"/>
  <c r="L59" i="1"/>
  <c r="K59" i="1"/>
  <c r="J59" i="1"/>
  <c r="I59" i="1"/>
  <c r="M58" i="1"/>
  <c r="L58" i="1"/>
  <c r="K58" i="1"/>
  <c r="J58" i="1"/>
  <c r="I58" i="1"/>
  <c r="M57" i="1"/>
  <c r="L57" i="1"/>
  <c r="K57" i="1"/>
  <c r="J57" i="1"/>
  <c r="I57" i="1"/>
  <c r="M56" i="1"/>
  <c r="L56" i="1"/>
  <c r="K56" i="1"/>
  <c r="I56" i="1"/>
  <c r="M55" i="1"/>
  <c r="L55" i="1"/>
  <c r="K55" i="1"/>
  <c r="I55" i="1"/>
  <c r="M54" i="1"/>
  <c r="L54" i="1"/>
  <c r="K54" i="1"/>
  <c r="I54" i="1"/>
  <c r="M53" i="1"/>
  <c r="L53" i="1"/>
  <c r="K53" i="1"/>
  <c r="I53" i="1"/>
  <c r="M52" i="1"/>
  <c r="L52" i="1"/>
  <c r="K52" i="1"/>
  <c r="I52" i="1"/>
  <c r="M51" i="1"/>
  <c r="L51" i="1"/>
  <c r="K51" i="1"/>
  <c r="I51" i="1"/>
  <c r="M50" i="1"/>
  <c r="L50" i="1"/>
  <c r="K50" i="1"/>
  <c r="I50" i="1"/>
  <c r="M49" i="1"/>
  <c r="L49" i="1"/>
  <c r="K49" i="1"/>
  <c r="I49" i="1"/>
  <c r="M48" i="1"/>
  <c r="L48" i="1"/>
  <c r="K48" i="1"/>
  <c r="I48" i="1"/>
  <c r="M47" i="1"/>
  <c r="L47" i="1"/>
  <c r="K47" i="1"/>
  <c r="J47" i="1"/>
  <c r="I47" i="1"/>
  <c r="M46" i="1"/>
  <c r="L46" i="1"/>
  <c r="K46" i="1"/>
  <c r="I46" i="1"/>
  <c r="M45" i="1"/>
  <c r="L45" i="1"/>
  <c r="K45" i="1"/>
  <c r="I45" i="1"/>
  <c r="M44" i="1"/>
  <c r="L44" i="1"/>
  <c r="K44" i="1"/>
  <c r="I44" i="1"/>
  <c r="M43" i="1"/>
  <c r="L43" i="1"/>
  <c r="K43" i="1"/>
  <c r="I43" i="1"/>
  <c r="M42" i="1"/>
  <c r="L42" i="1"/>
  <c r="K42" i="1"/>
  <c r="I42" i="1"/>
  <c r="M41" i="1"/>
  <c r="L41" i="1"/>
  <c r="K41" i="1"/>
  <c r="I41" i="1"/>
  <c r="M40" i="1"/>
  <c r="L40" i="1"/>
  <c r="K40" i="1"/>
  <c r="I40" i="1"/>
  <c r="M39" i="1"/>
  <c r="L39" i="1"/>
  <c r="K39" i="1"/>
  <c r="I39" i="1"/>
  <c r="M38" i="1"/>
  <c r="L38" i="1"/>
  <c r="K38" i="1"/>
  <c r="I38" i="1"/>
  <c r="M37" i="1"/>
  <c r="L37" i="1"/>
  <c r="K37" i="1"/>
  <c r="I37" i="1"/>
  <c r="M36" i="1"/>
  <c r="L36" i="1"/>
  <c r="K36" i="1"/>
  <c r="I36" i="1"/>
  <c r="M35" i="1"/>
  <c r="L35" i="1"/>
  <c r="K35" i="1"/>
  <c r="J35" i="1"/>
  <c r="I35" i="1"/>
  <c r="M34" i="1"/>
  <c r="L34" i="1"/>
  <c r="K34" i="1"/>
  <c r="I34" i="1"/>
  <c r="M33" i="1"/>
  <c r="L33" i="1"/>
  <c r="K33" i="1"/>
  <c r="I33" i="1"/>
  <c r="M32" i="1"/>
  <c r="L32" i="1"/>
  <c r="K32" i="1"/>
  <c r="I32" i="1"/>
  <c r="M31" i="1"/>
  <c r="L31" i="1"/>
  <c r="K31" i="1"/>
  <c r="I31" i="1"/>
  <c r="M30" i="1"/>
  <c r="L30" i="1"/>
  <c r="K30" i="1"/>
  <c r="I30" i="1"/>
  <c r="M29" i="1"/>
  <c r="L29" i="1"/>
  <c r="K29" i="1"/>
  <c r="I29" i="1"/>
  <c r="M28" i="1"/>
  <c r="L28" i="1"/>
  <c r="K28" i="1"/>
  <c r="I28" i="1"/>
  <c r="M27" i="1"/>
  <c r="L27" i="1"/>
  <c r="K27" i="1"/>
  <c r="I27" i="1"/>
  <c r="L26" i="1"/>
  <c r="K26" i="1"/>
  <c r="J26" i="1"/>
  <c r="I26" i="1"/>
  <c r="L25" i="1"/>
  <c r="K25" i="1"/>
  <c r="J25" i="1"/>
  <c r="I25" i="1"/>
  <c r="L24" i="1"/>
  <c r="K24" i="1"/>
  <c r="I24" i="1"/>
  <c r="L23" i="1"/>
  <c r="K23" i="1"/>
  <c r="I23" i="1"/>
  <c r="M22" i="1"/>
  <c r="L22" i="1"/>
  <c r="K22" i="1"/>
  <c r="I22" i="1"/>
  <c r="M21" i="1"/>
  <c r="L21" i="1"/>
  <c r="K21" i="1"/>
  <c r="J21" i="1"/>
  <c r="I21" i="1"/>
  <c r="M20" i="1"/>
  <c r="L20" i="1"/>
  <c r="K20" i="1"/>
  <c r="M19" i="1"/>
  <c r="L19" i="1"/>
  <c r="K19" i="1"/>
  <c r="M18" i="1"/>
  <c r="L18" i="1"/>
  <c r="K18" i="1"/>
  <c r="M17" i="1"/>
  <c r="L17" i="1"/>
  <c r="K17" i="1"/>
  <c r="J17" i="1"/>
  <c r="M16" i="1"/>
  <c r="L16" i="1"/>
  <c r="K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M11" i="1"/>
  <c r="L11" i="1"/>
  <c r="K11" i="1"/>
  <c r="P8" i="1"/>
  <c r="O8" i="1"/>
  <c r="P7" i="1"/>
  <c r="O7" i="1"/>
  <c r="P6" i="1"/>
  <c r="O6" i="1"/>
  <c r="P5" i="1"/>
  <c r="O5" i="1"/>
  <c r="P4" i="1"/>
  <c r="O4" i="1"/>
  <c r="D4" i="1"/>
  <c r="B4" i="1"/>
  <c r="O3" i="1"/>
  <c r="Q5" i="1" l="1"/>
  <c r="Q6" i="1"/>
  <c r="H4" i="1"/>
  <c r="H6" i="4"/>
  <c r="J4" i="1"/>
  <c r="F4" i="1"/>
  <c r="Q4" i="1"/>
  <c r="H6" i="3"/>
  <c r="Q7" i="1"/>
  <c r="H6" i="5"/>
  <c r="H6" i="6"/>
  <c r="H6" i="2"/>
  <c r="J11" i="1"/>
  <c r="L4" i="1"/>
  <c r="Q3" i="1"/>
</calcChain>
</file>

<file path=xl/sharedStrings.xml><?xml version="1.0" encoding="utf-8"?>
<sst xmlns="http://schemas.openxmlformats.org/spreadsheetml/2006/main" count="941" uniqueCount="257">
  <si>
    <t>Product Backlog – Capstone 5G FWA Rural</t>
  </si>
  <si>
    <t>Resumen por Sprint</t>
  </si>
  <si>
    <t>Sprint</t>
  </si>
  <si>
    <t>Tareas</t>
  </si>
  <si>
    <t>Estimación (h)</t>
  </si>
  <si>
    <t>Finalizadas</t>
  </si>
  <si>
    <t>Sprint 1</t>
  </si>
  <si>
    <t>Total tareas</t>
  </si>
  <si>
    <t>Estimación total (h)</t>
  </si>
  <si>
    <t>Pendientes</t>
  </si>
  <si>
    <t>Esfuerzo real (h)</t>
  </si>
  <si>
    <t>Esfuerzo restante (h)</t>
  </si>
  <si>
    <t>Sprint 2</t>
  </si>
  <si>
    <t>Sprint 3</t>
  </si>
  <si>
    <t>Sprint 4</t>
  </si>
  <si>
    <t>Sprint 5</t>
  </si>
  <si>
    <t>Sprint 6</t>
  </si>
  <si>
    <t>ID</t>
  </si>
  <si>
    <t>Product Backlog Item</t>
  </si>
  <si>
    <t>Fecha definición</t>
  </si>
  <si>
    <t>Sprint objetivo</t>
  </si>
  <si>
    <t>Prioridad</t>
  </si>
  <si>
    <t>Riesgo</t>
  </si>
  <si>
    <t>Valor</t>
  </si>
  <si>
    <t>Estimación trabajo (h-persona)</t>
  </si>
  <si>
    <t>Esfuerzo real (h-persona)</t>
  </si>
  <si>
    <t>Esfuerzo restante (h-persona)</t>
  </si>
  <si>
    <t>Estado</t>
  </si>
  <si>
    <t>Responsable(s)</t>
  </si>
  <si>
    <t>Notas</t>
  </si>
  <si>
    <t>PB01</t>
  </si>
  <si>
    <t>Organizar repositorio GitHub y estructura del proyecto</t>
  </si>
  <si>
    <t>Alta</t>
  </si>
  <si>
    <t>PB02</t>
  </si>
  <si>
    <t>Revisar estructura y contenido del dataset suministrado</t>
  </si>
  <si>
    <t>PB03</t>
  </si>
  <si>
    <t>Configurar entorno Python/Jupyter para ejecutar el notebook</t>
  </si>
  <si>
    <t>PB04</t>
  </si>
  <si>
    <t>Ejecutar y reproducir completamente el baseline suministrado</t>
  </si>
  <si>
    <t>PB05</t>
  </si>
  <si>
    <t>Registrar métricas iniciales del baseline</t>
  </si>
  <si>
    <t>PB06</t>
  </si>
  <si>
    <t>Documentar parámetros y supuestos del escenario base</t>
  </si>
  <si>
    <t>PB07</t>
  </si>
  <si>
    <t>Realizar sanity checks sobre dataset y baseline</t>
  </si>
  <si>
    <t>PB08</t>
  </si>
  <si>
    <t>Identificar y documentar inconsistencias o hallazgos del baseline</t>
  </si>
  <si>
    <t>PB09</t>
  </si>
  <si>
    <t>Documentar procedimiento para reproducir el baseline</t>
  </si>
  <si>
    <t>PB10</t>
  </si>
  <si>
    <t>Crear y priorizar el Product Backlog</t>
  </si>
  <si>
    <t>PB11</t>
  </si>
  <si>
    <t>Verificar reproducibilidad del baseline desde otro integrante/equipo</t>
  </si>
  <si>
    <t>PB12</t>
  </si>
  <si>
    <t>Registrar evidencias y estado final del Sprint 1</t>
  </si>
  <si>
    <t>Media</t>
  </si>
  <si>
    <t>PB13</t>
  </si>
  <si>
    <t>Revisar formalmente el modelo de asociación por mejor RSRP</t>
  </si>
  <si>
    <t>PB14</t>
  </si>
  <si>
    <t>Revisar e implementar correctamente el cálculo de interferencia reuse-1</t>
  </si>
  <si>
    <t>PB15</t>
  </si>
  <si>
    <t>Revisar e implementar el cálculo de SINR por punto de demanda</t>
  </si>
  <si>
    <t>PB16</t>
  </si>
  <si>
    <t>Revisar cálculo de ruido térmico y unidades empleadas</t>
  </si>
  <si>
    <t>PB17</t>
  </si>
  <si>
    <t>Revisar conversión SINR → eficiencia espectral</t>
  </si>
  <si>
    <t>PB18</t>
  </si>
  <si>
    <t>Revisar e implementar cálculo de capacidad por punto</t>
  </si>
  <si>
    <t>PB19</t>
  </si>
  <si>
    <t>Verificar cálculo de demanda en Busy Hour por punto</t>
  </si>
  <si>
    <t>PB20</t>
  </si>
  <si>
    <t>Definir formalmente el criterio de cobertura poblacional</t>
  </si>
  <si>
    <t>PB21</t>
  </si>
  <si>
    <t>Resolver discrepancia entre coverage_min_sinr_db y cobertura del baseline</t>
  </si>
  <si>
    <t>PB22</t>
  </si>
  <si>
    <t>Implementar/verificar las métricas técnicas obligatorias</t>
  </si>
  <si>
    <t>PB23</t>
  </si>
  <si>
    <t>Crear pruebas y sanity checks del modelo técnico completo</t>
  </si>
  <si>
    <t>PB24</t>
  </si>
  <si>
    <t>Crear visualización de puntos de demanda y sitios candidatos</t>
  </si>
  <si>
    <t>PB25</t>
  </si>
  <si>
    <t>Crear visualizaciones básicas de SINR/cobertura/capacidad</t>
  </si>
  <si>
    <t>PB26</t>
  </si>
  <si>
    <t>Documentar resultados y validación del modelo técnico</t>
  </si>
  <si>
    <t>PB27</t>
  </si>
  <si>
    <t>Definir función objetivo para selección de sitios</t>
  </si>
  <si>
    <t>PB28</t>
  </si>
  <si>
    <t>Analizar pesos de cobertura, capacidad y penalización por sitios</t>
  </si>
  <si>
    <t>PB29</t>
  </si>
  <si>
    <t>Implementar algoritmo de optimización 1</t>
  </si>
  <si>
    <t>PB30</t>
  </si>
  <si>
    <t>Ejecutar algoritmo 1 para diferentes valores de S</t>
  </si>
  <si>
    <t>PB31</t>
  </si>
  <si>
    <t>Comparar algoritmo 1 contra el baseline</t>
  </si>
  <si>
    <t>PB32</t>
  </si>
  <si>
    <t>Analizar trade-off cobertura vs capacidad</t>
  </si>
  <si>
    <t>PB33</t>
  </si>
  <si>
    <t>Analizar trade-off calidad/interferencia vs número de sitios</t>
  </si>
  <si>
    <t>PB34</t>
  </si>
  <si>
    <t>Analizar mejora cuantitativa obtenida por algoritmo 1</t>
  </si>
  <si>
    <t>PB35</t>
  </si>
  <si>
    <t>Analizar y documentar complejidad del algoritmo 1</t>
  </si>
  <si>
    <t>PB36</t>
  </si>
  <si>
    <t>Crear tablas/gráficas comparativas baseline vs algoritmo 1</t>
  </si>
  <si>
    <t>PB37</t>
  </si>
  <si>
    <t>Diseñar estrategia de optimización 2 mejorada</t>
  </si>
  <si>
    <t>PB38</t>
  </si>
  <si>
    <t>Implementar algoritmo de optimización 2</t>
  </si>
  <si>
    <t>PB39</t>
  </si>
  <si>
    <t>Comparar algoritmo 2 contra baseline y algoritmo 1</t>
  </si>
  <si>
    <t>PB40</t>
  </si>
  <si>
    <t>Analizar sensibilidad frente al número de sitios S</t>
  </si>
  <si>
    <t>PB41</t>
  </si>
  <si>
    <t>Analizar sensibilidad frente a pesos de la función objetivo</t>
  </si>
  <si>
    <t>PB42</t>
  </si>
  <si>
    <t>Analizar sensibilidad frente a umbrales técnicos</t>
  </si>
  <si>
    <t>PB43</t>
  </si>
  <si>
    <t>Evaluar estabilidad/robustez de las soluciones</t>
  </si>
  <si>
    <t>PB44</t>
  </si>
  <si>
    <t>Identificar diseño(s) técnicamente candidatos para decisión final</t>
  </si>
  <si>
    <t>PB45</t>
  </si>
  <si>
    <t>Crear visualizaciones comparativas de optimización y sensibilidad</t>
  </si>
  <si>
    <t>PB46</t>
  </si>
  <si>
    <t>Documentar metodología y resultados de optimización mejorada</t>
  </si>
  <si>
    <t>PB47</t>
  </si>
  <si>
    <t>Seleccionar diseño técnico que se llevará al modelo económico</t>
  </si>
  <si>
    <t>PB48</t>
  </si>
  <si>
    <t>Revisar interfaz notebook → modelo financiero XLSX</t>
  </si>
  <si>
    <t>PB49</t>
  </si>
  <si>
    <t>Resolver/justificar diferencia de suscriptores iniciales 711 vs 720</t>
  </si>
  <si>
    <t>PB50</t>
  </si>
  <si>
    <t>Definir y justificar supuestos económicos utilizados</t>
  </si>
  <si>
    <t>PB51</t>
  </si>
  <si>
    <t>Transferir número de sitios, cobertura y capacidad al XLSX</t>
  </si>
  <si>
    <t>PB52</t>
  </si>
  <si>
    <t>Validar cálculo de CAPEX del proyecto</t>
  </si>
  <si>
    <t>PB53</t>
  </si>
  <si>
    <t>Validar cálculo de OPEX anual</t>
  </si>
  <si>
    <t>PB54</t>
  </si>
  <si>
    <t>Validar ingresos y suscriptores atendidos</t>
  </si>
  <si>
    <t>PB55</t>
  </si>
  <si>
    <t>Obtener y validar flujo de caja a cinco años</t>
  </si>
  <si>
    <t>PB56</t>
  </si>
  <si>
    <t>Calcular e interpretar NPV/VPN</t>
  </si>
  <si>
    <t>PB57</t>
  </si>
  <si>
    <t>Calcular e interpretar ROI simple</t>
  </si>
  <si>
    <t>PB58</t>
  </si>
  <si>
    <t>Calcular e interpretar payback</t>
  </si>
  <si>
    <t>PB59</t>
  </si>
  <si>
    <t>Crear escenario económico pesimista/base/optimista</t>
  </si>
  <si>
    <t>PB60</t>
  </si>
  <si>
    <t>Analizar sensibilidad frente al ARPU</t>
  </si>
  <si>
    <t>PB61</t>
  </si>
  <si>
    <t>Analizar sensibilidad frente al CAPEX</t>
  </si>
  <si>
    <t>PB62</t>
  </si>
  <si>
    <t>Analizar sensibilidad frente al OPEX</t>
  </si>
  <si>
    <t>PB63</t>
  </si>
  <si>
    <t>Identificar variable económica más crítica para la viabilidad</t>
  </si>
  <si>
    <t>PB64</t>
  </si>
  <si>
    <t>Emitir conclusión técnico-económica del diseño seleccionado</t>
  </si>
  <si>
    <t>PB65</t>
  </si>
  <si>
    <t>Integrar y depurar notebook final</t>
  </si>
  <si>
    <t>PB66</t>
  </si>
  <si>
    <t>Preparar notebook ejecutado para entrega</t>
  </si>
  <si>
    <t>PB67</t>
  </si>
  <si>
    <t>Preparar versión limpia del notebook sin outputs pesados</t>
  </si>
  <si>
    <t>PB68</t>
  </si>
  <si>
    <t>Consolidar resultados técnicos finales</t>
  </si>
  <si>
    <t>PB69</t>
  </si>
  <si>
    <t>Consolidar resultados económicos finales</t>
  </si>
  <si>
    <t>PB70</t>
  </si>
  <si>
    <t>Redactar informe final de máximo 6 páginas</t>
  </si>
  <si>
    <t>PB71</t>
  </si>
  <si>
    <t>Incluir metodología, resultados, discusión, economía y limitaciones en informe</t>
  </si>
  <si>
    <t>PB72</t>
  </si>
  <si>
    <t>Consolidar registro de prompts y uso de IA generativa</t>
  </si>
  <si>
    <t>PB73</t>
  </si>
  <si>
    <t>Documentar qué resultados de IA fueron aceptados o modificados y por qué</t>
  </si>
  <si>
    <t>PB74</t>
  </si>
  <si>
    <t>Documentar pruebas, sanity checks y validaciones realizadas</t>
  </si>
  <si>
    <t>PB75</t>
  </si>
  <si>
    <t>Preparar presentación final de 10–12 diapositivas</t>
  </si>
  <si>
    <t>PB76</t>
  </si>
  <si>
    <t>Preparar demo del notebook</t>
  </si>
  <si>
    <t>PB77</t>
  </si>
  <si>
    <t>Preparar y ensayar pitch de 15 minutos</t>
  </si>
  <si>
    <t>PB78</t>
  </si>
  <si>
    <t>Realizar retrospectiva final de Scrum</t>
  </si>
  <si>
    <t>PB79</t>
  </si>
  <si>
    <t>Consolidar historial de Product Backlog después de cada sprint</t>
  </si>
  <si>
    <t>PB80</t>
  </si>
  <si>
    <t>Consolidar esfuerzo estimado/real y responsables por tarea</t>
  </si>
  <si>
    <t>PB81</t>
  </si>
  <si>
    <t>Consolidar esfuerzo total por integrante</t>
  </si>
  <si>
    <t>PB82</t>
  </si>
  <si>
    <t>Revisar trazabilidad entre GitHub, tracker, resultados e informe</t>
  </si>
  <si>
    <t>PB83</t>
  </si>
  <si>
    <t>Consolidar paquete final .zip</t>
  </si>
  <si>
    <t>PB84</t>
  </si>
  <si>
    <t>Realizar revisión final de todos los entregables</t>
  </si>
  <si>
    <t>Sprint 1 – Semanas 1–2</t>
  </si>
  <si>
    <t>Objetivo</t>
  </si>
  <si>
    <t>Kick-off, comprensión del escenario, backlog y baseline reproducible.</t>
  </si>
  <si>
    <t>Entregables mínimos</t>
  </si>
  <si>
    <t>Backlog priorizado, baseline del notebook ejecutado y métricas iniciales.</t>
  </si>
  <si>
    <t>Definition of Done (DoD)</t>
  </si>
  <si>
    <t>Reproducibilidad, supuestos claros y repositorio organizado.</t>
  </si>
  <si>
    <t>Est. total (h)</t>
  </si>
  <si>
    <t>24-08</t>
  </si>
  <si>
    <t>Real total (h)</t>
  </si>
  <si>
    <t>Restante (h)</t>
  </si>
  <si>
    <t>Backlog Item</t>
  </si>
  <si>
    <t>Sprint Task</t>
  </si>
  <si>
    <t>Volunteer / Responsable(s)</t>
  </si>
  <si>
    <t>Initial Estimated Effort (h)</t>
  </si>
  <si>
    <t>Actual Effort (h)</t>
  </si>
  <si>
    <t>Effort Remaining (h)</t>
  </si>
  <si>
    <t>Fecha inicio</t>
  </si>
  <si>
    <t>Fecha cierre</t>
  </si>
  <si>
    <t>Evidencia / Notas</t>
  </si>
  <si>
    <t>Finalizado</t>
  </si>
  <si>
    <t>Pendiente</t>
  </si>
  <si>
    <t>Sprint 2 – Semanas 3–4</t>
  </si>
  <si>
    <t>Modelo técnico completo (SINR/capacidad) y métricas por punto.</t>
  </si>
  <si>
    <t>Funciones de evaluación, reporte de métricas baseline y visualizaciones básicas.</t>
  </si>
  <si>
    <t>Correctitud del modelo, métricas coherentes y pruebas.</t>
  </si>
  <si>
    <t>—</t>
  </si>
  <si>
    <t>Sprint 3 – Semanas 5–6</t>
  </si>
  <si>
    <t>Primera optimización (heurística/greedy/búsqueda local) con comparación.</t>
  </si>
  <si>
    <t>Algoritmo 1, comparación vs baseline y análisis de trade-offs.</t>
  </si>
  <si>
    <t>Mejora cuantitativa, explicación y complejidad razonable.</t>
  </si>
  <si>
    <t>21-09</t>
  </si>
  <si>
    <t>Sprint 4 – Semanas 7–8</t>
  </si>
  <si>
    <t>Optimización mejorada (RL/imitación/ML o heurística avanzada) + robustez.</t>
  </si>
  <si>
    <t>Algoritmo 2 y análisis de sensibilidad (S, pesos, umbrales).</t>
  </si>
  <si>
    <t>Estabilidad y generalización dentro del escenario.</t>
  </si>
  <si>
    <t>Sprint 5 – Semanas 9–10</t>
  </si>
  <si>
    <t>Modelo económico completo + escenarios.</t>
  </si>
  <si>
    <t>XLSX diligenciado, NPV/ROI/payback y escenarios ARPU/CAPEX/OPEX.</t>
  </si>
  <si>
    <t>Consistencia financiera, fuentes y sensibilidad.</t>
  </si>
  <si>
    <t>19-10</t>
  </si>
  <si>
    <t>Sprint 6 – Semanas 11–12</t>
  </si>
  <si>
    <t>Integración final y presentación ejecutiva.</t>
  </si>
  <si>
    <t>Informe final + demo notebook + pitch 15 min + retrospectiva Scrum.</t>
  </si>
  <si>
    <t>Historia clara, resultados defendibles y trazabilidad IA.</t>
  </si>
  <si>
    <t>19-11</t>
  </si>
  <si>
    <t xml:space="preserve">Felipe </t>
  </si>
  <si>
    <t>Realizado con éxito</t>
  </si>
  <si>
    <t>Entrega</t>
  </si>
  <si>
    <t>Emanuel/Jhon</t>
  </si>
  <si>
    <t>Jhon</t>
  </si>
  <si>
    <t>Bajo</t>
  </si>
  <si>
    <t>Alto</t>
  </si>
  <si>
    <t>Felipe</t>
  </si>
  <si>
    <t>Emanuel</t>
  </si>
  <si>
    <t>Terminado con éxito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</si>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</sst>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6"/>
      <color rgb="FFFFFFFF"/>
      <name val="Carlito"/>
    </font>
    <font>
      <sz val="11"/>
      <color rgb="FF404040"/>
      <name val="Carlito"/>
    </font>
    <font>
      <b/>
      <sz val="11"/>
      <color rgb="FF17365D"/>
      <name val="Carlito"/>
    </font>
    <font>
      <b/>
      <sz val="13"/>
      <color rgb="FF17365D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33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BacklogTable" displayName="ProductBacklogTable" ref="A10:M94" totalsRowShown="0">
  <tableColumns count="13">
    <tableColumn id="1" xr3:uid="{00000000-0010-0000-0000-000001000000}" name="ID"/>
    <tableColumn id="2" xr3:uid="{00000000-0010-0000-0000-000002000000}" name="Product Backlog Item"/>
    <tableColumn id="3" xr3:uid="{00000000-0010-0000-0000-000003000000}" name="Fecha definición"/>
    <tableColumn id="4" xr3:uid="{00000000-0010-0000-0000-000004000000}" name="Sprint objetivo"/>
    <tableColumn id="5" xr3:uid="{00000000-0010-0000-0000-000005000000}" name="Prioridad"/>
    <tableColumn id="6" xr3:uid="{00000000-0010-0000-0000-000006000000}" name="Riesgo"/>
    <tableColumn id="7" xr3:uid="{00000000-0010-0000-0000-000007000000}" name="Valor"/>
    <tableColumn id="8" xr3:uid="{00000000-0010-0000-0000-000008000000}" name="Estimación trabajo (h-persona)"/>
    <tableColumn id="9" xr3:uid="{00000000-0010-0000-0000-000009000000}" name="Esfuerzo real (h-persona)"/>
    <tableColumn id="10" xr3:uid="{00000000-0010-0000-0000-00000A000000}" name="Esfuerzo restante (h-persona)"/>
    <tableColumn id="11" xr3:uid="{00000000-0010-0000-0000-00000B000000}" name="Estado"/>
    <tableColumn id="12" xr3:uid="{00000000-0010-0000-0000-00000C000000}" name="Responsable(s)"/>
    <tableColumn id="13" xr3:uid="{00000000-0010-0000-0000-00000D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rint1TasksTable" displayName="Sprint1TasksTable" ref="A9:K21" totalsRowShown="0">
  <tableColumns count="11">
    <tableColumn id="1" xr3:uid="{00000000-0010-0000-0100-000001000000}" name="Backlog Item"/>
    <tableColumn id="2" xr3:uid="{00000000-0010-0000-0100-000002000000}" name="Sprint Task"/>
    <tableColumn id="3" xr3:uid="{00000000-0010-0000-0100-000003000000}" name="Volunteer / Responsable(s)"/>
    <tableColumn id="4" xr3:uid="{00000000-0010-0000-0100-000004000000}" name="Prioridad"/>
    <tableColumn id="5" xr3:uid="{00000000-0010-0000-0100-000005000000}" name="Initial Estimated Effort (h)"/>
    <tableColumn id="6" xr3:uid="{00000000-0010-0000-0100-000006000000}" name="Actual Effort (h)"/>
    <tableColumn id="7" xr3:uid="{00000000-0010-0000-0100-000007000000}" name="Effort Remaining (h)"/>
    <tableColumn id="8" xr3:uid="{00000000-0010-0000-0100-000008000000}" name="Estado"/>
    <tableColumn id="9" xr3:uid="{00000000-0010-0000-0100-000009000000}" name="Fecha inicio"/>
    <tableColumn id="10" xr3:uid="{00000000-0010-0000-0100-00000A000000}" name="Fecha cierre"/>
    <tableColumn id="11" xr3:uid="{00000000-0010-0000-0100-00000B000000}" name="Evidencia / 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rint2TasksTable" displayName="Sprint2TasksTable" ref="A9:K23" totalsRowShown="0">
  <tableColumns count="11">
    <tableColumn id="1" xr3:uid="{00000000-0010-0000-0200-000001000000}" name="Backlog Item"/>
    <tableColumn id="2" xr3:uid="{00000000-0010-0000-0200-000002000000}" name="Sprint Task"/>
    <tableColumn id="3" xr3:uid="{00000000-0010-0000-0200-000003000000}" name="Volunteer / Responsable(s)"/>
    <tableColumn id="4" xr3:uid="{00000000-0010-0000-0200-000004000000}" name="Prioridad"/>
    <tableColumn id="5" xr3:uid="{00000000-0010-0000-0200-000005000000}" name="Initial Estimated Effort (h)"/>
    <tableColumn id="6" xr3:uid="{00000000-0010-0000-0200-000006000000}" name="Actual Effort (h)"/>
    <tableColumn id="7" xr3:uid="{00000000-0010-0000-0200-000007000000}" name="Effort Remaining (h)"/>
    <tableColumn id="8" xr3:uid="{00000000-0010-0000-0200-000008000000}" name="Estado"/>
    <tableColumn id="9" xr3:uid="{00000000-0010-0000-0200-000009000000}" name="Fecha inicio"/>
    <tableColumn id="10" xr3:uid="{00000000-0010-0000-0200-00000A000000}" name="Fecha cierre"/>
    <tableColumn id="11" xr3:uid="{00000000-0010-0000-0200-00000B000000}" name="Evidencia / 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rint3TasksTable" displayName="Sprint3TasksTable" ref="A9:K19" totalsRowShown="0">
  <tableColumns count="11">
    <tableColumn id="1" xr3:uid="{00000000-0010-0000-0300-000001000000}" name="Backlog Item"/>
    <tableColumn id="2" xr3:uid="{00000000-0010-0000-0300-000002000000}" name="Sprint Task"/>
    <tableColumn id="3" xr3:uid="{00000000-0010-0000-0300-000003000000}" name="Volunteer / Responsable(s)"/>
    <tableColumn id="4" xr3:uid="{00000000-0010-0000-0300-000004000000}" name="Prioridad"/>
    <tableColumn id="5" xr3:uid="{00000000-0010-0000-0300-000005000000}" name="Initial Estimated Effort (h)"/>
    <tableColumn id="6" xr3:uid="{00000000-0010-0000-0300-000006000000}" name="Actual Effort (h)"/>
    <tableColumn id="7" xr3:uid="{00000000-0010-0000-0300-000007000000}" name="Effort Remaining (h)"/>
    <tableColumn id="8" xr3:uid="{00000000-0010-0000-0300-000008000000}" name="Estado"/>
    <tableColumn id="9" xr3:uid="{00000000-0010-0000-0300-000009000000}" name="Fecha inicio"/>
    <tableColumn id="10" xr3:uid="{00000000-0010-0000-0300-00000A000000}" name="Fecha cierre"/>
    <tableColumn id="11" xr3:uid="{00000000-0010-0000-0300-00000B000000}" name="Evidencia / No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print4TasksTable" displayName="Sprint4TasksTable" ref="A9:K19" totalsRowShown="0">
  <tableColumns count="11">
    <tableColumn id="1" xr3:uid="{00000000-0010-0000-0400-000001000000}" name="Backlog Item"/>
    <tableColumn id="2" xr3:uid="{00000000-0010-0000-0400-000002000000}" name="Sprint Task"/>
    <tableColumn id="3" xr3:uid="{00000000-0010-0000-0400-000003000000}" name="Volunteer / Responsable(s)"/>
    <tableColumn id="4" xr3:uid="{00000000-0010-0000-0400-000004000000}" name="Prioridad"/>
    <tableColumn id="5" xr3:uid="{00000000-0010-0000-0400-000005000000}" name="Initial Estimated Effort (h)"/>
    <tableColumn id="6" xr3:uid="{00000000-0010-0000-0400-000006000000}" name="Actual Effort (h)"/>
    <tableColumn id="7" xr3:uid="{00000000-0010-0000-0400-000007000000}" name="Effort Remaining (h)"/>
    <tableColumn id="8" xr3:uid="{00000000-0010-0000-0400-000008000000}" name="Estado"/>
    <tableColumn id="9" xr3:uid="{00000000-0010-0000-0400-000009000000}" name="Fecha inicio"/>
    <tableColumn id="10" xr3:uid="{00000000-0010-0000-0400-00000A000000}" name="Fecha cierre"/>
    <tableColumn id="11" xr3:uid="{00000000-0010-0000-0400-00000B000000}" name="Evidencia / 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rint5TasksTable" displayName="Sprint5TasksTable" ref="A9:K27" totalsRowShown="0">
  <tableColumns count="11">
    <tableColumn id="1" xr3:uid="{00000000-0010-0000-0500-000001000000}" name="Backlog Item"/>
    <tableColumn id="2" xr3:uid="{00000000-0010-0000-0500-000002000000}" name="Sprint Task"/>
    <tableColumn id="3" xr3:uid="{00000000-0010-0000-0500-000003000000}" name="Volunteer / Responsable(s)"/>
    <tableColumn id="4" xr3:uid="{00000000-0010-0000-0500-000004000000}" name="Prioridad"/>
    <tableColumn id="5" xr3:uid="{00000000-0010-0000-0500-000005000000}" name="Initial Estimated Effort (h)"/>
    <tableColumn id="6" xr3:uid="{00000000-0010-0000-0500-000006000000}" name="Actual Effort (h)"/>
    <tableColumn id="7" xr3:uid="{00000000-0010-0000-0500-000007000000}" name="Effort Remaining (h)"/>
    <tableColumn id="8" xr3:uid="{00000000-0010-0000-0500-000008000000}" name="Estado"/>
    <tableColumn id="9" xr3:uid="{00000000-0010-0000-0500-000009000000}" name="Fecha inicio"/>
    <tableColumn id="10" xr3:uid="{00000000-0010-0000-0500-00000A000000}" name="Fecha cierre"/>
    <tableColumn id="11" xr3:uid="{00000000-0010-0000-0500-00000B000000}" name="Evidencia / Not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print6TasksTable" displayName="Sprint6TasksTable" ref="A9:K29" totalsRowShown="0">
  <tableColumns count="11">
    <tableColumn id="1" xr3:uid="{00000000-0010-0000-0600-000001000000}" name="Backlog Item"/>
    <tableColumn id="2" xr3:uid="{00000000-0010-0000-0600-000002000000}" name="Sprint Task"/>
    <tableColumn id="3" xr3:uid="{00000000-0010-0000-0600-000003000000}" name="Volunteer / Responsable(s)"/>
    <tableColumn id="4" xr3:uid="{00000000-0010-0000-0600-000004000000}" name="Prioridad"/>
    <tableColumn id="5" xr3:uid="{00000000-0010-0000-0600-000005000000}" name="Initial Estimated Effort (h)"/>
    <tableColumn id="6" xr3:uid="{00000000-0010-0000-0600-000006000000}" name="Actual Effort (h)"/>
    <tableColumn id="7" xr3:uid="{00000000-0010-0000-0600-000007000000}" name="Effort Remaining (h)"/>
    <tableColumn id="8" xr3:uid="{00000000-0010-0000-0600-000008000000}" name="Estado"/>
    <tableColumn id="9" xr3:uid="{00000000-0010-0000-0600-000009000000}" name="Fecha inicio"/>
    <tableColumn id="10" xr3:uid="{00000000-0010-0000-0600-00000A000000}" name="Fecha cierre"/>
    <tableColumn id="11" xr3:uid="{00000000-0010-0000-0600-00000B000000}" name="Evidencia / 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"/>
  <sheetViews>
    <sheetView topLeftCell="A35" zoomScale="69" zoomScaleNormal="85" workbookViewId="0">
      <selection activeCell="I57" sqref="I57"/>
    </sheetView>
  </sheetViews>
  <sheetFormatPr defaultColWidth="9" defaultRowHeight="13.8"/>
  <cols>
    <col min="1" max="1" width="14.69921875" bestFit="1" customWidth="1"/>
    <col min="2" max="2" width="49.8984375" bestFit="1" customWidth="1"/>
    <col min="3" max="3" width="23" bestFit="1" customWidth="1"/>
    <col min="4" max="4" width="12" customWidth="1"/>
    <col min="5" max="5" width="13.59765625" bestFit="1" customWidth="1"/>
    <col min="6" max="6" width="10" customWidth="1"/>
    <col min="7" max="7" width="13.59765625" bestFit="1" customWidth="1"/>
    <col min="8" max="8" width="16" customWidth="1"/>
    <col min="9" max="9" width="19.5" bestFit="1" customWidth="1"/>
    <col min="10" max="10" width="17" customWidth="1"/>
    <col min="11" max="11" width="24.5" bestFit="1" customWidth="1"/>
    <col min="12" max="12" width="20" customWidth="1"/>
    <col min="13" max="13" width="34" customWidth="1"/>
    <col min="14" max="14" width="12" customWidth="1"/>
    <col min="15" max="15" width="10" customWidth="1"/>
    <col min="16" max="16" width="15" customWidth="1"/>
    <col min="17" max="17" width="12" customWidth="1"/>
  </cols>
  <sheetData>
    <row r="1" spans="1:17" ht="27.9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 t="s">
        <v>1</v>
      </c>
      <c r="O1" s="9"/>
      <c r="P1" s="9"/>
      <c r="Q1" s="9"/>
    </row>
    <row r="2" spans="1:17" ht="33.9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 t="s">
        <v>2</v>
      </c>
      <c r="O2" s="3" t="s">
        <v>3</v>
      </c>
      <c r="P2" s="3" t="s">
        <v>4</v>
      </c>
      <c r="Q2" s="3" t="s">
        <v>5</v>
      </c>
    </row>
    <row r="3" spans="1:17">
      <c r="N3" t="s">
        <v>6</v>
      </c>
      <c r="O3">
        <f>COUNTIF(D11:D94,1)</f>
        <v>12</v>
      </c>
      <c r="P3">
        <f>SUMIF(D11:D94,1,H11:H94)</f>
        <v>12.5</v>
      </c>
      <c r="Q3">
        <f>COUNTIFS(D11:D94,1,K11:K94,"Finalizado")</f>
        <v>12</v>
      </c>
    </row>
    <row r="4" spans="1:17" ht="16.8">
      <c r="A4" s="1" t="s">
        <v>7</v>
      </c>
      <c r="B4" s="2">
        <f>COUNTA(A11:A94)</f>
        <v>84</v>
      </c>
      <c r="C4" s="1" t="s">
        <v>8</v>
      </c>
      <c r="D4" s="2">
        <f>SUM(H11:H94)</f>
        <v>137.5</v>
      </c>
      <c r="E4" s="1" t="s">
        <v>5</v>
      </c>
      <c r="F4" s="2">
        <f>COUNTIF(K11:K94,"Finalizado")</f>
        <v>36</v>
      </c>
      <c r="G4" s="1" t="s">
        <v>9</v>
      </c>
      <c r="H4" s="2">
        <f>COUNTIF(K11:K94,"Pendiente")</f>
        <v>43</v>
      </c>
      <c r="I4" s="1" t="s">
        <v>10</v>
      </c>
      <c r="J4" s="2">
        <f>SUM(I11:I94)</f>
        <v>68</v>
      </c>
      <c r="K4" s="1" t="s">
        <v>11</v>
      </c>
      <c r="L4" s="2">
        <f>SUM(J11:J94)</f>
        <v>69.5</v>
      </c>
      <c r="N4" t="s">
        <v>12</v>
      </c>
      <c r="O4">
        <f>COUNTIF(D11:D94,2)</f>
        <v>14</v>
      </c>
      <c r="P4">
        <f>SUMIF(D11:D94,2,H11:H94)</f>
        <v>23.5</v>
      </c>
      <c r="Q4">
        <f>COUNTIFS(D11:D94,2,K11:K94,"Finalizado")</f>
        <v>14</v>
      </c>
    </row>
    <row r="5" spans="1:17">
      <c r="N5" t="s">
        <v>13</v>
      </c>
      <c r="O5">
        <f>COUNTIF(D11:D94,3)</f>
        <v>10</v>
      </c>
      <c r="P5">
        <f>SUMIF(D11:D94,3,H11:H94)</f>
        <v>17.5</v>
      </c>
      <c r="Q5">
        <f>COUNTIFS(D11:D94,3,K11:K94,"Finalizado")</f>
        <v>10</v>
      </c>
    </row>
    <row r="6" spans="1:17">
      <c r="A6" s="3"/>
      <c r="B6" s="3"/>
      <c r="C6" s="3"/>
      <c r="D6" s="3"/>
      <c r="N6" t="s">
        <v>14</v>
      </c>
      <c r="O6">
        <f>COUNTIF(D11:D94,4)</f>
        <v>10</v>
      </c>
      <c r="P6">
        <f>SUMIF(D11:D94,4,H11:H94)</f>
        <v>22.5</v>
      </c>
      <c r="Q6">
        <f>COUNTIFS(D11:D94,4,K11:K94,"Finalizado")</f>
        <v>0</v>
      </c>
    </row>
    <row r="7" spans="1:17">
      <c r="N7" t="s">
        <v>15</v>
      </c>
      <c r="O7">
        <f>COUNTIF(D11:D94,5)</f>
        <v>18</v>
      </c>
      <c r="P7">
        <f>SUMIF(D11:D94,5,H11:H94)</f>
        <v>24.5</v>
      </c>
      <c r="Q7">
        <f>COUNTIFS(D11:D94,5,K11:K94,"Finalizado")</f>
        <v>0</v>
      </c>
    </row>
    <row r="8" spans="1:17">
      <c r="N8" t="s">
        <v>16</v>
      </c>
      <c r="O8">
        <f>COUNTIF(D11:D94,6)</f>
        <v>20</v>
      </c>
      <c r="P8">
        <f>SUMIF(D11:D94,6,H11:H94)</f>
        <v>37</v>
      </c>
      <c r="Q8">
        <f>COUNTIFS(D11:D94,6,K11:K94,"Finalizado")</f>
        <v>0</v>
      </c>
    </row>
    <row r="10" spans="1:17" ht="41.4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</row>
    <row r="11" spans="1:17">
      <c r="A11" s="4" t="s">
        <v>30</v>
      </c>
      <c r="B11" s="4" t="s">
        <v>31</v>
      </c>
      <c r="C11" s="5">
        <v>46250</v>
      </c>
      <c r="D11" s="4">
        <v>1</v>
      </c>
      <c r="E11" s="4" t="s">
        <v>32</v>
      </c>
      <c r="F11" s="4" t="s">
        <v>251</v>
      </c>
      <c r="G11" s="4" t="s">
        <v>252</v>
      </c>
      <c r="H11" s="6">
        <v>1</v>
      </c>
      <c r="I11" s="6">
        <v>1</v>
      </c>
      <c r="J11" s="6">
        <f>'Sprint 1'!G10</f>
        <v>0</v>
      </c>
      <c r="K11" s="4" t="str">
        <f>'Sprint 1'!H10</f>
        <v>Finalizado</v>
      </c>
      <c r="L11" s="4" t="str">
        <f>IF('Sprint 1'!C10="","",'Sprint 1'!C10)</f>
        <v xml:space="preserve">Felipe </v>
      </c>
      <c r="M11" s="4" t="str">
        <f>IF('Sprint 1'!K10="","",'Sprint 1'!K10)</f>
        <v>Realizado con éxito</v>
      </c>
    </row>
    <row r="12" spans="1:17">
      <c r="A12" s="4" t="s">
        <v>33</v>
      </c>
      <c r="B12" s="4" t="s">
        <v>34</v>
      </c>
      <c r="C12" s="5">
        <v>46250</v>
      </c>
      <c r="D12" s="4">
        <v>1</v>
      </c>
      <c r="E12" s="4" t="s">
        <v>32</v>
      </c>
      <c r="F12" s="4" t="s">
        <v>251</v>
      </c>
      <c r="G12" s="4" t="s">
        <v>252</v>
      </c>
      <c r="H12" s="6">
        <v>1</v>
      </c>
      <c r="I12" s="6">
        <v>1</v>
      </c>
      <c r="J12" s="6">
        <f>'Sprint 1'!G11</f>
        <v>0</v>
      </c>
      <c r="K12" s="4" t="str">
        <f>'Sprint 1'!H11</f>
        <v>Finalizado</v>
      </c>
      <c r="L12" s="4" t="str">
        <f>IF('Sprint 1'!C11="","",'Sprint 1'!C11)</f>
        <v xml:space="preserve">Felipe </v>
      </c>
      <c r="M12" s="4" t="str">
        <f>IF('Sprint 1'!K11="","",'Sprint 1'!K11)</f>
        <v>Realizado con éxito</v>
      </c>
    </row>
    <row r="13" spans="1:17" ht="27.6">
      <c r="A13" s="4" t="s">
        <v>35</v>
      </c>
      <c r="B13" s="4" t="s">
        <v>36</v>
      </c>
      <c r="C13" s="5">
        <v>46250</v>
      </c>
      <c r="D13" s="4">
        <v>1</v>
      </c>
      <c r="E13" s="4" t="s">
        <v>32</v>
      </c>
      <c r="F13" s="4" t="s">
        <v>251</v>
      </c>
      <c r="G13" s="4" t="s">
        <v>252</v>
      </c>
      <c r="H13" s="6">
        <v>1</v>
      </c>
      <c r="I13" s="6">
        <v>1</v>
      </c>
      <c r="J13" s="6">
        <f>'Sprint 1'!G12</f>
        <v>0</v>
      </c>
      <c r="K13" s="4" t="str">
        <f>'Sprint 1'!H12</f>
        <v>Finalizado</v>
      </c>
      <c r="L13" s="4" t="str">
        <f>IF('Sprint 1'!C12="","",'Sprint 1'!C12)</f>
        <v xml:space="preserve">Felipe </v>
      </c>
      <c r="M13" s="4" t="str">
        <f>IF('Sprint 1'!K12="","",'Sprint 1'!K12)</f>
        <v>Realizado con éxito</v>
      </c>
    </row>
    <row r="14" spans="1:17" ht="27.6">
      <c r="A14" s="4" t="s">
        <v>37</v>
      </c>
      <c r="B14" s="4" t="s">
        <v>38</v>
      </c>
      <c r="C14" s="5">
        <v>46250</v>
      </c>
      <c r="D14" s="4">
        <v>1</v>
      </c>
      <c r="E14" s="4" t="s">
        <v>32</v>
      </c>
      <c r="F14" s="4" t="s">
        <v>251</v>
      </c>
      <c r="G14" s="4" t="s">
        <v>252</v>
      </c>
      <c r="H14" s="6">
        <v>2</v>
      </c>
      <c r="I14" s="6">
        <v>2</v>
      </c>
      <c r="J14" s="6">
        <f>'Sprint 1'!G13</f>
        <v>0</v>
      </c>
      <c r="K14" s="4" t="str">
        <f>'Sprint 1'!H13</f>
        <v>Finalizado</v>
      </c>
      <c r="L14" s="4" t="str">
        <f>IF('Sprint 1'!C13="","",'Sprint 1'!C13)</f>
        <v xml:space="preserve">Felipe </v>
      </c>
      <c r="M14" s="4" t="str">
        <f>IF('Sprint 1'!K13="","",'Sprint 1'!K13)</f>
        <v>Realizado con éxito</v>
      </c>
    </row>
    <row r="15" spans="1:17">
      <c r="A15" s="4" t="s">
        <v>39</v>
      </c>
      <c r="B15" s="4" t="s">
        <v>40</v>
      </c>
      <c r="C15" s="5">
        <v>46250</v>
      </c>
      <c r="D15" s="4">
        <v>1</v>
      </c>
      <c r="E15" s="4" t="s">
        <v>32</v>
      </c>
      <c r="F15" s="4" t="s">
        <v>251</v>
      </c>
      <c r="G15" s="4" t="s">
        <v>252</v>
      </c>
      <c r="H15" s="6">
        <v>0.5</v>
      </c>
      <c r="I15" s="6">
        <v>0.5</v>
      </c>
      <c r="J15" s="6">
        <f>'Sprint 1'!G14</f>
        <v>0</v>
      </c>
      <c r="K15" s="4" t="str">
        <f>'Sprint 1'!H14</f>
        <v>Finalizado</v>
      </c>
      <c r="L15" s="4" t="str">
        <f>IF('Sprint 1'!C14="","",'Sprint 1'!C14)</f>
        <v xml:space="preserve">Felipe </v>
      </c>
      <c r="M15" s="4" t="str">
        <f>IF('Sprint 1'!K14="","",'Sprint 1'!K14)</f>
        <v>Realizado con éxito</v>
      </c>
    </row>
    <row r="16" spans="1:17">
      <c r="A16" s="4" t="s">
        <v>41</v>
      </c>
      <c r="B16" s="4" t="s">
        <v>42</v>
      </c>
      <c r="C16" s="5">
        <v>46250</v>
      </c>
      <c r="D16" s="4">
        <v>1</v>
      </c>
      <c r="E16" s="4" t="s">
        <v>32</v>
      </c>
      <c r="F16" s="4" t="s">
        <v>251</v>
      </c>
      <c r="G16" s="4" t="s">
        <v>252</v>
      </c>
      <c r="H16" s="6">
        <v>1</v>
      </c>
      <c r="I16" s="6">
        <v>1</v>
      </c>
      <c r="J16" s="6">
        <f>'Sprint 1'!G15</f>
        <v>0</v>
      </c>
      <c r="K16" s="4" t="str">
        <f>'Sprint 1'!H15</f>
        <v>Finalizado</v>
      </c>
      <c r="L16" s="4" t="str">
        <f>IF('Sprint 1'!C15="","",'Sprint 1'!C15)</f>
        <v xml:space="preserve">Felipe </v>
      </c>
      <c r="M16" s="4" t="str">
        <f>IF('Sprint 1'!K15="","",'Sprint 1'!K15)</f>
        <v>Realizado con éxito</v>
      </c>
    </row>
    <row r="17" spans="1:13">
      <c r="A17" s="4" t="s">
        <v>43</v>
      </c>
      <c r="B17" s="4" t="s">
        <v>44</v>
      </c>
      <c r="C17" s="5">
        <v>46250</v>
      </c>
      <c r="D17" s="4">
        <v>1</v>
      </c>
      <c r="E17" s="4" t="s">
        <v>32</v>
      </c>
      <c r="F17" s="4" t="s">
        <v>251</v>
      </c>
      <c r="G17" s="4" t="s">
        <v>252</v>
      </c>
      <c r="H17" s="6">
        <v>1</v>
      </c>
      <c r="I17" s="6">
        <v>1</v>
      </c>
      <c r="J17" s="6">
        <f>'Sprint 1'!G16</f>
        <v>0</v>
      </c>
      <c r="K17" s="4" t="str">
        <f>'Sprint 1'!H16</f>
        <v>Finalizado</v>
      </c>
      <c r="L17" s="4" t="str">
        <f>IF('Sprint 1'!C16="","",'Sprint 1'!C16)</f>
        <v xml:space="preserve">Felipe </v>
      </c>
      <c r="M17" s="4" t="str">
        <f>IF('Sprint 1'!K16="","",'Sprint 1'!K16)</f>
        <v>Realizado con éxito</v>
      </c>
    </row>
    <row r="18" spans="1:13" ht="27.6">
      <c r="A18" s="4" t="s">
        <v>45</v>
      </c>
      <c r="B18" s="4" t="s">
        <v>46</v>
      </c>
      <c r="C18" s="5">
        <v>46250</v>
      </c>
      <c r="D18" s="4">
        <v>1</v>
      </c>
      <c r="E18" s="4" t="s">
        <v>32</v>
      </c>
      <c r="F18" s="4" t="s">
        <v>251</v>
      </c>
      <c r="G18" s="4" t="s">
        <v>252</v>
      </c>
      <c r="H18" s="6">
        <v>1</v>
      </c>
      <c r="I18" s="6">
        <v>1</v>
      </c>
      <c r="J18" s="6">
        <f>'Sprint 1'!G17</f>
        <v>0</v>
      </c>
      <c r="K18" s="4" t="str">
        <f>'Sprint 1'!H17</f>
        <v>Finalizado</v>
      </c>
      <c r="L18" s="4" t="str">
        <f>IF('Sprint 1'!C17="","",'Sprint 1'!C17)</f>
        <v xml:space="preserve">Felipe </v>
      </c>
      <c r="M18" s="4" t="str">
        <f>IF('Sprint 1'!K17="","",'Sprint 1'!K17)</f>
        <v>Realizado con éxito</v>
      </c>
    </row>
    <row r="19" spans="1:13">
      <c r="A19" s="4" t="s">
        <v>47</v>
      </c>
      <c r="B19" s="4" t="s">
        <v>48</v>
      </c>
      <c r="C19" s="5">
        <v>46250</v>
      </c>
      <c r="D19" s="4">
        <v>1</v>
      </c>
      <c r="E19" s="4" t="s">
        <v>32</v>
      </c>
      <c r="F19" s="4" t="s">
        <v>251</v>
      </c>
      <c r="G19" s="4" t="s">
        <v>252</v>
      </c>
      <c r="H19" s="6">
        <v>0.5</v>
      </c>
      <c r="I19" s="6">
        <v>0.5</v>
      </c>
      <c r="J19" s="6">
        <f>'Sprint 1'!G18</f>
        <v>0</v>
      </c>
      <c r="K19" s="4" t="str">
        <f>'Sprint 1'!H18</f>
        <v>Finalizado</v>
      </c>
      <c r="L19" s="4" t="str">
        <f>IF('Sprint 1'!C18="","",'Sprint 1'!C18)</f>
        <v xml:space="preserve">Felipe </v>
      </c>
      <c r="M19" s="4" t="str">
        <f>IF('Sprint 1'!K18="","",'Sprint 1'!K18)</f>
        <v>Realizado con éxito</v>
      </c>
    </row>
    <row r="20" spans="1:13">
      <c r="A20" s="4" t="s">
        <v>49</v>
      </c>
      <c r="B20" s="4" t="s">
        <v>50</v>
      </c>
      <c r="C20" s="5">
        <v>46250</v>
      </c>
      <c r="D20" s="4">
        <v>1</v>
      </c>
      <c r="E20" s="4" t="s">
        <v>32</v>
      </c>
      <c r="F20" s="4" t="s">
        <v>251</v>
      </c>
      <c r="G20" s="4" t="s">
        <v>252</v>
      </c>
      <c r="H20" s="6">
        <v>2</v>
      </c>
      <c r="I20" s="6">
        <v>2</v>
      </c>
      <c r="J20" s="6">
        <f>'Sprint 1'!G19</f>
        <v>0</v>
      </c>
      <c r="K20" s="4" t="str">
        <f>'Sprint 1'!H19</f>
        <v>Finalizado</v>
      </c>
      <c r="L20" s="4" t="str">
        <f>IF('Sprint 1'!C19="","",'Sprint 1'!C19)</f>
        <v>Jhon</v>
      </c>
      <c r="M20" s="4" t="str">
        <f>IF('Sprint 1'!K19="","",'Sprint 1'!K19)</f>
        <v>Realizado con éxito</v>
      </c>
    </row>
    <row r="21" spans="1:13" ht="27.6">
      <c r="A21" s="4" t="s">
        <v>51</v>
      </c>
      <c r="B21" s="4" t="s">
        <v>52</v>
      </c>
      <c r="C21" s="5">
        <v>46250</v>
      </c>
      <c r="D21" s="4">
        <v>1</v>
      </c>
      <c r="E21" s="4" t="s">
        <v>32</v>
      </c>
      <c r="F21" s="4" t="s">
        <v>251</v>
      </c>
      <c r="G21" s="4" t="s">
        <v>252</v>
      </c>
      <c r="H21" s="6">
        <v>1</v>
      </c>
      <c r="I21" s="6">
        <f>IF('Sprint 1'!F20="","",'Sprint 1'!F20)</f>
        <v>1</v>
      </c>
      <c r="J21" s="6">
        <f>'Sprint 1'!G20</f>
        <v>0</v>
      </c>
      <c r="K21" s="4" t="str">
        <f>'Sprint 1'!H20</f>
        <v>Finalizado</v>
      </c>
      <c r="L21" s="4" t="str">
        <f>IF('Sprint 1'!C20="","",'Sprint 1'!C20)</f>
        <v>Emanuel/Jhon</v>
      </c>
      <c r="M21" s="4" t="str">
        <f>IF('Sprint 1'!K20="","",'Sprint 1'!K20)</f>
        <v>Realizado con éxito</v>
      </c>
    </row>
    <row r="22" spans="1:13">
      <c r="A22" s="4" t="s">
        <v>53</v>
      </c>
      <c r="B22" s="4" t="s">
        <v>54</v>
      </c>
      <c r="C22" s="5">
        <v>46250</v>
      </c>
      <c r="D22" s="4">
        <v>1</v>
      </c>
      <c r="E22" s="4" t="s">
        <v>55</v>
      </c>
      <c r="F22" s="4" t="s">
        <v>251</v>
      </c>
      <c r="G22" s="4" t="s">
        <v>252</v>
      </c>
      <c r="H22" s="6">
        <v>0.5</v>
      </c>
      <c r="I22" s="6">
        <f>IF('Sprint 1'!F21="","",'Sprint 1'!F21)</f>
        <v>0.5</v>
      </c>
      <c r="J22" s="6">
        <f>'Sprint 1'!G21</f>
        <v>0</v>
      </c>
      <c r="K22" s="4" t="str">
        <f>'Sprint 1'!H21</f>
        <v>Finalizado</v>
      </c>
      <c r="L22" s="4" t="str">
        <f>IF('Sprint 1'!C21="","",'Sprint 1'!C21)</f>
        <v xml:space="preserve">Felipe </v>
      </c>
      <c r="M22" s="4" t="str">
        <f>IF('Sprint 1'!K21="","",'Sprint 1'!K21)</f>
        <v>Realizado con éxito</v>
      </c>
    </row>
    <row r="23" spans="1:13" ht="27.6">
      <c r="A23" s="4" t="s">
        <v>56</v>
      </c>
      <c r="B23" s="4" t="s">
        <v>57</v>
      </c>
      <c r="C23" s="5">
        <v>46250</v>
      </c>
      <c r="D23" s="4">
        <v>2</v>
      </c>
      <c r="E23" s="4" t="s">
        <v>32</v>
      </c>
      <c r="F23" s="4" t="s">
        <v>251</v>
      </c>
      <c r="G23" s="4" t="s">
        <v>252</v>
      </c>
      <c r="H23" s="6">
        <v>1</v>
      </c>
      <c r="I23" s="6">
        <f>IF('Sprint 2'!F10="","",'Sprint 2'!F10)</f>
        <v>1</v>
      </c>
      <c r="J23" s="6">
        <f>'Sprint 2'!G10</f>
        <v>0</v>
      </c>
      <c r="K23" s="4" t="str">
        <f>'Sprint 2'!H10</f>
        <v>Finalizado</v>
      </c>
      <c r="L23" s="4" t="str">
        <f>IF('Sprint 2'!C10="","",'Sprint 2'!C10)</f>
        <v>Felipe</v>
      </c>
      <c r="M23" s="4" t="str">
        <f>IF('Sprint 2'!K10="","",'Sprint 2'!K10)</f>
        <v>Realizado con éxito</v>
      </c>
    </row>
    <row r="24" spans="1:13" ht="27.6">
      <c r="A24" s="4" t="s">
        <v>58</v>
      </c>
      <c r="B24" s="4" t="s">
        <v>59</v>
      </c>
      <c r="C24" s="5">
        <v>46250</v>
      </c>
      <c r="D24" s="4">
        <v>2</v>
      </c>
      <c r="E24" s="4" t="s">
        <v>32</v>
      </c>
      <c r="F24" s="4" t="s">
        <v>251</v>
      </c>
      <c r="G24" s="4" t="s">
        <v>252</v>
      </c>
      <c r="H24" s="6">
        <v>2</v>
      </c>
      <c r="I24" s="6">
        <f>IF('Sprint 2'!F11="","",'Sprint 2'!F11)</f>
        <v>2</v>
      </c>
      <c r="J24" s="6">
        <f>'Sprint 2'!G11</f>
        <v>0</v>
      </c>
      <c r="K24" s="4" t="str">
        <f>'Sprint 2'!H11</f>
        <v>Finalizado</v>
      </c>
      <c r="L24" s="4" t="str">
        <f>IF('Sprint 2'!C11="","",'Sprint 2'!C11)</f>
        <v>Felipe</v>
      </c>
      <c r="M24" s="4" t="str">
        <f>IF('Sprint 2'!K11="","",'Sprint 2'!K11)</f>
        <v>Realizado con éxito</v>
      </c>
    </row>
    <row r="25" spans="1:13" ht="27.6">
      <c r="A25" s="4" t="s">
        <v>60</v>
      </c>
      <c r="B25" s="4" t="s">
        <v>61</v>
      </c>
      <c r="C25" s="5">
        <v>46250</v>
      </c>
      <c r="D25" s="4">
        <v>2</v>
      </c>
      <c r="E25" s="4" t="s">
        <v>32</v>
      </c>
      <c r="F25" s="4" t="s">
        <v>251</v>
      </c>
      <c r="G25" s="4" t="s">
        <v>252</v>
      </c>
      <c r="H25" s="6">
        <v>2</v>
      </c>
      <c r="I25" s="6">
        <f>IF('Sprint 2'!F12="","",'Sprint 2'!F12)</f>
        <v>2</v>
      </c>
      <c r="J25" s="6">
        <f>'Sprint 2'!G12</f>
        <v>0</v>
      </c>
      <c r="K25" s="4" t="str">
        <f>'Sprint 2'!H12</f>
        <v>Finalizado</v>
      </c>
      <c r="L25" s="4" t="str">
        <f>IF('Sprint 2'!C12="","",'Sprint 2'!C12)</f>
        <v>Felipe</v>
      </c>
      <c r="M25" s="4" t="str">
        <f>IF('Sprint 2'!K12="","",'Sprint 2'!K12)</f>
        <v>Realizado con éxito</v>
      </c>
    </row>
    <row r="26" spans="1:13">
      <c r="A26" s="4" t="s">
        <v>62</v>
      </c>
      <c r="B26" s="4" t="s">
        <v>63</v>
      </c>
      <c r="C26" s="5">
        <v>46250</v>
      </c>
      <c r="D26" s="4">
        <v>2</v>
      </c>
      <c r="E26" s="4" t="s">
        <v>32</v>
      </c>
      <c r="F26" s="4" t="s">
        <v>251</v>
      </c>
      <c r="G26" s="4" t="s">
        <v>252</v>
      </c>
      <c r="H26" s="6">
        <v>1</v>
      </c>
      <c r="I26" s="6">
        <f>IF('Sprint 2'!F13="","",'Sprint 2'!F13)</f>
        <v>1</v>
      </c>
      <c r="J26" s="6">
        <f>'Sprint 2'!G13</f>
        <v>0</v>
      </c>
      <c r="K26" s="4" t="str">
        <f>'Sprint 2'!H13</f>
        <v>Finalizado</v>
      </c>
      <c r="L26" s="4" t="str">
        <f>IF('Sprint 2'!C13="","",'Sprint 2'!C13)</f>
        <v>Felipe</v>
      </c>
      <c r="M26" s="4" t="str">
        <f>IF('Sprint 2'!K13="","",'Sprint 2'!K13)</f>
        <v>Realizado con éxito</v>
      </c>
    </row>
    <row r="27" spans="1:13">
      <c r="A27" s="4" t="s">
        <v>64</v>
      </c>
      <c r="B27" s="4" t="s">
        <v>65</v>
      </c>
      <c r="C27" s="5">
        <v>46250</v>
      </c>
      <c r="D27" s="4">
        <v>2</v>
      </c>
      <c r="E27" s="4" t="s">
        <v>32</v>
      </c>
      <c r="F27" s="4" t="s">
        <v>251</v>
      </c>
      <c r="G27" s="4" t="s">
        <v>252</v>
      </c>
      <c r="H27" s="6">
        <v>1.5</v>
      </c>
      <c r="I27" s="6">
        <f>IF('Sprint 2'!F14="","",'Sprint 2'!F14)</f>
        <v>1.5</v>
      </c>
      <c r="J27" s="6">
        <f>'Sprint 2'!G14</f>
        <v>0</v>
      </c>
      <c r="K27" s="4" t="str">
        <f>'Sprint 2'!H14</f>
        <v>Finalizado</v>
      </c>
      <c r="L27" s="4" t="str">
        <f>IF('Sprint 2'!C14="","",'Sprint 2'!C14)</f>
        <v>Jhon</v>
      </c>
      <c r="M27" s="4" t="str">
        <f>IF('Sprint 2'!K14="","",'Sprint 2'!K14)</f>
        <v>Realizado con éxito</v>
      </c>
    </row>
    <row r="28" spans="1:13">
      <c r="A28" s="4" t="s">
        <v>66</v>
      </c>
      <c r="B28" s="4" t="s">
        <v>67</v>
      </c>
      <c r="C28" s="5">
        <v>46250</v>
      </c>
      <c r="D28" s="4">
        <v>2</v>
      </c>
      <c r="E28" s="4" t="s">
        <v>32</v>
      </c>
      <c r="F28" s="4" t="s">
        <v>251</v>
      </c>
      <c r="G28" s="4" t="s">
        <v>252</v>
      </c>
      <c r="H28" s="6">
        <v>2</v>
      </c>
      <c r="I28" s="6">
        <f>IF('Sprint 2'!F15="","",'Sprint 2'!F15)</f>
        <v>2</v>
      </c>
      <c r="J28" s="6">
        <f>'Sprint 2'!G15</f>
        <v>0</v>
      </c>
      <c r="K28" s="4" t="str">
        <f>'Sprint 2'!H15</f>
        <v>Finalizado</v>
      </c>
      <c r="L28" s="4" t="str">
        <f>IF('Sprint 2'!C15="","",'Sprint 2'!C15)</f>
        <v>Jhon</v>
      </c>
      <c r="M28" s="4" t="str">
        <f>IF('Sprint 2'!K15="","",'Sprint 2'!K15)</f>
        <v>Realizado con éxito</v>
      </c>
    </row>
    <row r="29" spans="1:13">
      <c r="A29" s="4" t="s">
        <v>68</v>
      </c>
      <c r="B29" s="4" t="s">
        <v>69</v>
      </c>
      <c r="C29" s="5">
        <v>46250</v>
      </c>
      <c r="D29" s="4">
        <v>2</v>
      </c>
      <c r="E29" s="4" t="s">
        <v>32</v>
      </c>
      <c r="F29" s="4" t="s">
        <v>251</v>
      </c>
      <c r="G29" s="4" t="s">
        <v>252</v>
      </c>
      <c r="H29" s="6">
        <v>1.5</v>
      </c>
      <c r="I29" s="6">
        <f>IF('Sprint 2'!F16="","",'Sprint 2'!F16)</f>
        <v>1.5</v>
      </c>
      <c r="J29" s="6">
        <f>'Sprint 2'!G16</f>
        <v>0</v>
      </c>
      <c r="K29" s="4" t="str">
        <f>'Sprint 2'!H16</f>
        <v>Finalizado</v>
      </c>
      <c r="L29" s="4" t="str">
        <f>IF('Sprint 2'!C16="","",'Sprint 2'!C16)</f>
        <v>Jhon</v>
      </c>
      <c r="M29" s="4" t="str">
        <f>IF('Sprint 2'!K16="","",'Sprint 2'!K16)</f>
        <v>Realizado con éxito</v>
      </c>
    </row>
    <row r="30" spans="1:13">
      <c r="A30" s="4" t="s">
        <v>70</v>
      </c>
      <c r="B30" s="4" t="s">
        <v>71</v>
      </c>
      <c r="C30" s="5">
        <v>46250</v>
      </c>
      <c r="D30" s="4">
        <v>2</v>
      </c>
      <c r="E30" s="4" t="s">
        <v>32</v>
      </c>
      <c r="F30" s="4" t="s">
        <v>251</v>
      </c>
      <c r="G30" s="4" t="s">
        <v>252</v>
      </c>
      <c r="H30" s="6">
        <v>2</v>
      </c>
      <c r="I30" s="6">
        <f>IF('Sprint 2'!F17="","",'Sprint 2'!F17)</f>
        <v>2</v>
      </c>
      <c r="J30" s="6">
        <f>'Sprint 2'!G17</f>
        <v>0</v>
      </c>
      <c r="K30" s="4" t="str">
        <f>'Sprint 2'!H17</f>
        <v>Finalizado</v>
      </c>
      <c r="L30" s="4" t="str">
        <f>IF('Sprint 2'!C17="","",'Sprint 2'!C17)</f>
        <v>Felipe</v>
      </c>
      <c r="M30" s="4" t="str">
        <f>IF('Sprint 2'!K17="","",'Sprint 2'!K17)</f>
        <v>Realizado con éxito</v>
      </c>
    </row>
    <row r="31" spans="1:13" ht="27.6">
      <c r="A31" s="4" t="s">
        <v>72</v>
      </c>
      <c r="B31" s="4" t="s">
        <v>73</v>
      </c>
      <c r="C31" s="5">
        <v>46250</v>
      </c>
      <c r="D31" s="4">
        <v>2</v>
      </c>
      <c r="E31" s="4" t="s">
        <v>32</v>
      </c>
      <c r="F31" s="4" t="s">
        <v>251</v>
      </c>
      <c r="G31" s="4" t="s">
        <v>252</v>
      </c>
      <c r="H31" s="6">
        <v>1.5</v>
      </c>
      <c r="I31" s="6">
        <f>IF('Sprint 2'!F18="","",'Sprint 2'!F18)</f>
        <v>1.5</v>
      </c>
      <c r="J31" s="6">
        <f>'Sprint 2'!G18</f>
        <v>0</v>
      </c>
      <c r="K31" s="4" t="str">
        <f>'Sprint 2'!H18</f>
        <v>Finalizado</v>
      </c>
      <c r="L31" s="4" t="str">
        <f>IF('Sprint 2'!C18="","",'Sprint 2'!C18)</f>
        <v>Felipe</v>
      </c>
      <c r="M31" s="4" t="str">
        <f>IF('Sprint 2'!K18="","",'Sprint 2'!K18)</f>
        <v>Realizado con éxito</v>
      </c>
    </row>
    <row r="32" spans="1:13">
      <c r="A32" s="4" t="s">
        <v>74</v>
      </c>
      <c r="B32" s="4" t="s">
        <v>75</v>
      </c>
      <c r="C32" s="5">
        <v>46250</v>
      </c>
      <c r="D32" s="4">
        <v>2</v>
      </c>
      <c r="E32" s="4" t="s">
        <v>32</v>
      </c>
      <c r="F32" s="4" t="s">
        <v>251</v>
      </c>
      <c r="G32" s="4" t="s">
        <v>252</v>
      </c>
      <c r="H32" s="6">
        <v>2</v>
      </c>
      <c r="I32" s="6">
        <f>IF('Sprint 2'!F19="","",'Sprint 2'!F19)</f>
        <v>2</v>
      </c>
      <c r="J32" s="6">
        <f>'Sprint 2'!G19</f>
        <v>0</v>
      </c>
      <c r="K32" s="4" t="str">
        <f>'Sprint 2'!H19</f>
        <v>Finalizado</v>
      </c>
      <c r="L32" s="4" t="str">
        <f>IF('Sprint 2'!C19="","",'Sprint 2'!C19)</f>
        <v>Emanuel</v>
      </c>
      <c r="M32" s="4" t="str">
        <f>IF('Sprint 2'!K19="","",'Sprint 2'!K19)</f>
        <v>Realizado con éxito</v>
      </c>
    </row>
    <row r="33" spans="1:13">
      <c r="A33" s="4" t="s">
        <v>76</v>
      </c>
      <c r="B33" s="4" t="s">
        <v>77</v>
      </c>
      <c r="C33" s="5">
        <v>46250</v>
      </c>
      <c r="D33" s="4">
        <v>2</v>
      </c>
      <c r="E33" s="4" t="s">
        <v>32</v>
      </c>
      <c r="F33" s="4" t="s">
        <v>251</v>
      </c>
      <c r="G33" s="4" t="s">
        <v>252</v>
      </c>
      <c r="H33" s="6">
        <v>2</v>
      </c>
      <c r="I33" s="6">
        <f>IF('Sprint 2'!F20="","",'Sprint 2'!F20)</f>
        <v>2</v>
      </c>
      <c r="J33" s="6">
        <f>'Sprint 2'!G20</f>
        <v>0</v>
      </c>
      <c r="K33" s="4" t="str">
        <f>'Sprint 2'!H20</f>
        <v>Finalizado</v>
      </c>
      <c r="L33" s="4" t="str">
        <f>IF('Sprint 2'!C20="","",'Sprint 2'!C20)</f>
        <v>Jhon</v>
      </c>
      <c r="M33" s="4" t="str">
        <f>IF('Sprint 2'!K20="","",'Sprint 2'!K20)</f>
        <v>Realizado con éxito</v>
      </c>
    </row>
    <row r="34" spans="1:13" ht="27.6">
      <c r="A34" s="4" t="s">
        <v>78</v>
      </c>
      <c r="B34" s="4" t="s">
        <v>79</v>
      </c>
      <c r="C34" s="5">
        <v>46250</v>
      </c>
      <c r="D34" s="4">
        <v>2</v>
      </c>
      <c r="E34" s="4" t="s">
        <v>55</v>
      </c>
      <c r="F34" s="4" t="s">
        <v>251</v>
      </c>
      <c r="G34" s="4" t="s">
        <v>252</v>
      </c>
      <c r="H34" s="6">
        <v>1.5</v>
      </c>
      <c r="I34" s="6">
        <f>IF('Sprint 2'!F21="","",'Sprint 2'!F21)</f>
        <v>1.5</v>
      </c>
      <c r="J34" s="6">
        <f>'Sprint 2'!G21</f>
        <v>0</v>
      </c>
      <c r="K34" s="4" t="str">
        <f>'Sprint 2'!H21</f>
        <v>Finalizado</v>
      </c>
      <c r="L34" s="4" t="str">
        <f>IF('Sprint 2'!C21="","",'Sprint 2'!C21)</f>
        <v>Emanuel</v>
      </c>
      <c r="M34" s="4" t="str">
        <f>IF('Sprint 2'!K21="","",'Sprint 2'!K21)</f>
        <v>Realizado con éxito</v>
      </c>
    </row>
    <row r="35" spans="1:13">
      <c r="A35" s="4" t="s">
        <v>80</v>
      </c>
      <c r="B35" s="4" t="s">
        <v>81</v>
      </c>
      <c r="C35" s="5">
        <v>46250</v>
      </c>
      <c r="D35" s="4">
        <v>2</v>
      </c>
      <c r="E35" s="4" t="s">
        <v>55</v>
      </c>
      <c r="F35" s="4" t="s">
        <v>251</v>
      </c>
      <c r="G35" s="4" t="s">
        <v>252</v>
      </c>
      <c r="H35" s="6">
        <v>2</v>
      </c>
      <c r="I35" s="6">
        <f>IF('Sprint 2'!F22="","",'Sprint 2'!F22)</f>
        <v>2</v>
      </c>
      <c r="J35" s="6">
        <f>'Sprint 2'!G22</f>
        <v>0</v>
      </c>
      <c r="K35" s="4" t="str">
        <f>'Sprint 2'!H22</f>
        <v>Finalizado</v>
      </c>
      <c r="L35" s="4" t="str">
        <f>IF('Sprint 2'!C22="","",'Sprint 2'!C22)</f>
        <v>Emanuel</v>
      </c>
      <c r="M35" s="4" t="str">
        <f>IF('Sprint 2'!K22="","",'Sprint 2'!K22)</f>
        <v>Realizado con éxito</v>
      </c>
    </row>
    <row r="36" spans="1:13">
      <c r="A36" s="4" t="s">
        <v>82</v>
      </c>
      <c r="B36" s="4" t="s">
        <v>83</v>
      </c>
      <c r="C36" s="5">
        <v>46250</v>
      </c>
      <c r="D36" s="4">
        <v>2</v>
      </c>
      <c r="E36" s="4" t="s">
        <v>32</v>
      </c>
      <c r="F36" s="4" t="s">
        <v>251</v>
      </c>
      <c r="G36" s="4" t="s">
        <v>252</v>
      </c>
      <c r="H36" s="6">
        <v>1.5</v>
      </c>
      <c r="I36" s="6">
        <f>IF('Sprint 2'!F23="","",'Sprint 2'!F23)</f>
        <v>1.5</v>
      </c>
      <c r="J36" s="6">
        <f>'Sprint 2'!G23</f>
        <v>0</v>
      </c>
      <c r="K36" s="4" t="str">
        <f>'Sprint 2'!H23</f>
        <v>Finalizado</v>
      </c>
      <c r="L36" s="4" t="str">
        <f>IF('Sprint 2'!C23="","",'Sprint 2'!C23)</f>
        <v>Emanuel</v>
      </c>
      <c r="M36" s="4" t="str">
        <f>IF('Sprint 2'!K23="","",'Sprint 2'!K23)</f>
        <v>Realizado con éxito</v>
      </c>
    </row>
    <row r="37" spans="1:13">
      <c r="A37" s="4" t="s">
        <v>84</v>
      </c>
      <c r="B37" s="4" t="s">
        <v>85</v>
      </c>
      <c r="C37" s="5">
        <v>46250</v>
      </c>
      <c r="D37" s="4">
        <v>3</v>
      </c>
      <c r="E37" s="4" t="s">
        <v>32</v>
      </c>
      <c r="F37" s="4" t="s">
        <v>251</v>
      </c>
      <c r="G37" s="4" t="s">
        <v>252</v>
      </c>
      <c r="H37" s="6">
        <v>2</v>
      </c>
      <c r="I37" s="6">
        <f>IF('Sprint 3'!F10="","",'Sprint 3'!F10)</f>
        <v>2</v>
      </c>
      <c r="J37" s="6">
        <f>'Sprint 3'!G10</f>
        <v>0</v>
      </c>
      <c r="K37" s="4" t="str">
        <f>'Sprint 3'!H10</f>
        <v>Finalizado</v>
      </c>
      <c r="L37" s="4" t="str">
        <f>IF('Sprint 3'!C10="","",'Sprint 3'!C10)</f>
        <v>Felipe</v>
      </c>
      <c r="M37" s="4" t="str">
        <f>IF('Sprint 3'!K10="","",'Sprint 3'!K10)</f>
        <v>Terminado con éxito</v>
      </c>
    </row>
    <row r="38" spans="1:13" ht="27.6">
      <c r="A38" s="4" t="s">
        <v>86</v>
      </c>
      <c r="B38" s="4" t="s">
        <v>87</v>
      </c>
      <c r="C38" s="5">
        <v>46250</v>
      </c>
      <c r="D38" s="4">
        <v>3</v>
      </c>
      <c r="E38" s="4" t="s">
        <v>32</v>
      </c>
      <c r="F38" s="4" t="s">
        <v>251</v>
      </c>
      <c r="G38" s="4" t="s">
        <v>252</v>
      </c>
      <c r="H38" s="6">
        <v>1.5</v>
      </c>
      <c r="I38" s="6">
        <f>IF('Sprint 3'!F11="","",'Sprint 3'!F11)</f>
        <v>1.5</v>
      </c>
      <c r="J38" s="6">
        <f>'Sprint 3'!G11</f>
        <v>0</v>
      </c>
      <c r="K38" s="4" t="str">
        <f>'Sprint 3'!H11</f>
        <v>Finalizado</v>
      </c>
      <c r="L38" s="4" t="str">
        <f>IF('Sprint 3'!C11="","",'Sprint 3'!C11)</f>
        <v>Felipe</v>
      </c>
      <c r="M38" s="4" t="str">
        <f>IF('Sprint 3'!K11="","",'Sprint 3'!K11)</f>
        <v>Terminado con éxito</v>
      </c>
    </row>
    <row r="39" spans="1:13">
      <c r="A39" s="4" t="s">
        <v>88</v>
      </c>
      <c r="B39" s="4" t="s">
        <v>89</v>
      </c>
      <c r="C39" s="5">
        <v>46250</v>
      </c>
      <c r="D39" s="4">
        <v>3</v>
      </c>
      <c r="E39" s="4" t="s">
        <v>32</v>
      </c>
      <c r="F39" s="4" t="s">
        <v>251</v>
      </c>
      <c r="G39" s="4" t="s">
        <v>252</v>
      </c>
      <c r="H39" s="6">
        <v>3</v>
      </c>
      <c r="I39" s="6">
        <f>IF('Sprint 3'!F12="","",'Sprint 3'!F12)</f>
        <v>3</v>
      </c>
      <c r="J39" s="6">
        <f>'Sprint 3'!G12</f>
        <v>0</v>
      </c>
      <c r="K39" s="4" t="str">
        <f>'Sprint 3'!H12</f>
        <v>Finalizado</v>
      </c>
      <c r="L39" s="4" t="str">
        <f>IF('Sprint 3'!C12="","",'Sprint 3'!C12)</f>
        <v>Felipe</v>
      </c>
      <c r="M39" s="4" t="str">
        <f>IF('Sprint 3'!K12="","",'Sprint 3'!K12)</f>
        <v>Terminado con éxito</v>
      </c>
    </row>
    <row r="40" spans="1:13">
      <c r="A40" s="4" t="s">
        <v>90</v>
      </c>
      <c r="B40" s="4" t="s">
        <v>91</v>
      </c>
      <c r="C40" s="5">
        <v>46250</v>
      </c>
      <c r="D40" s="4">
        <v>3</v>
      </c>
      <c r="E40" s="4" t="s">
        <v>32</v>
      </c>
      <c r="F40" s="4" t="s">
        <v>251</v>
      </c>
      <c r="G40" s="4" t="s">
        <v>252</v>
      </c>
      <c r="H40" s="6">
        <v>2</v>
      </c>
      <c r="I40" s="6">
        <f>IF('Sprint 3'!F13="","",'Sprint 3'!F13)</f>
        <v>2</v>
      </c>
      <c r="J40" s="6">
        <f>'Sprint 3'!G13</f>
        <v>0</v>
      </c>
      <c r="K40" s="4" t="str">
        <f>'Sprint 3'!H13</f>
        <v>Finalizado</v>
      </c>
      <c r="L40" s="4" t="str">
        <f>IF('Sprint 3'!C13="","",'Sprint 3'!C13)</f>
        <v>Jhon</v>
      </c>
      <c r="M40" s="4" t="str">
        <f>IF('Sprint 3'!K13="","",'Sprint 3'!K13)</f>
        <v>Terminado con éxito</v>
      </c>
    </row>
    <row r="41" spans="1:13">
      <c r="A41" s="4" t="s">
        <v>92</v>
      </c>
      <c r="B41" s="4" t="s">
        <v>93</v>
      </c>
      <c r="C41" s="5">
        <v>46250</v>
      </c>
      <c r="D41" s="4">
        <v>3</v>
      </c>
      <c r="E41" s="4" t="s">
        <v>32</v>
      </c>
      <c r="F41" s="4" t="s">
        <v>251</v>
      </c>
      <c r="G41" s="4" t="s">
        <v>252</v>
      </c>
      <c r="H41" s="6">
        <v>2</v>
      </c>
      <c r="I41" s="6">
        <f>IF('Sprint 3'!F14="","",'Sprint 3'!F14)</f>
        <v>2</v>
      </c>
      <c r="J41" s="6">
        <f>'Sprint 3'!G14</f>
        <v>0</v>
      </c>
      <c r="K41" s="4" t="str">
        <f>'Sprint 3'!H14</f>
        <v>Finalizado</v>
      </c>
      <c r="L41" s="4" t="str">
        <f>IF('Sprint 3'!C14="","",'Sprint 3'!C14)</f>
        <v>Jhon</v>
      </c>
      <c r="M41" s="4" t="str">
        <f>IF('Sprint 3'!K14="","",'Sprint 3'!K14)</f>
        <v>Terminado con éxito</v>
      </c>
    </row>
    <row r="42" spans="1:13">
      <c r="A42" s="4" t="s">
        <v>94</v>
      </c>
      <c r="B42" s="4" t="s">
        <v>95</v>
      </c>
      <c r="C42" s="5">
        <v>46250</v>
      </c>
      <c r="D42" s="4">
        <v>3</v>
      </c>
      <c r="E42" s="4" t="s">
        <v>32</v>
      </c>
      <c r="F42" s="4" t="s">
        <v>251</v>
      </c>
      <c r="G42" s="4" t="s">
        <v>252</v>
      </c>
      <c r="H42" s="6">
        <v>1.5</v>
      </c>
      <c r="I42" s="6">
        <f>IF('Sprint 3'!F15="","",'Sprint 3'!F15)</f>
        <v>1.5</v>
      </c>
      <c r="J42" s="6">
        <f>'Sprint 3'!G15</f>
        <v>0</v>
      </c>
      <c r="K42" s="4" t="str">
        <f>'Sprint 3'!H15</f>
        <v>Finalizado</v>
      </c>
      <c r="L42" s="4" t="str">
        <f>IF('Sprint 3'!C15="","",'Sprint 3'!C15)</f>
        <v>Emanuel</v>
      </c>
      <c r="M42" s="4" t="str">
        <f>IF('Sprint 3'!K15="","",'Sprint 3'!K15)</f>
        <v>Terminado con éxito</v>
      </c>
    </row>
    <row r="43" spans="1:13">
      <c r="A43" s="4" t="s">
        <v>96</v>
      </c>
      <c r="B43" s="4" t="s">
        <v>97</v>
      </c>
      <c r="C43" s="5">
        <v>46250</v>
      </c>
      <c r="D43" s="4">
        <v>3</v>
      </c>
      <c r="E43" s="4" t="s">
        <v>32</v>
      </c>
      <c r="F43" s="4" t="s">
        <v>251</v>
      </c>
      <c r="G43" s="4" t="s">
        <v>252</v>
      </c>
      <c r="H43" s="6">
        <v>1.5</v>
      </c>
      <c r="I43" s="6">
        <f>IF('Sprint 3'!F16="","",'Sprint 3'!F16)</f>
        <v>1.5</v>
      </c>
      <c r="J43" s="6">
        <f>'Sprint 3'!G16</f>
        <v>0</v>
      </c>
      <c r="K43" s="4" t="str">
        <f>'Sprint 3'!H16</f>
        <v>Finalizado</v>
      </c>
      <c r="L43" s="4" t="str">
        <f>IF('Sprint 3'!C16="","",'Sprint 3'!C16)</f>
        <v>Emanuel</v>
      </c>
      <c r="M43" s="4" t="str">
        <f>IF('Sprint 3'!K16="","",'Sprint 3'!K16)</f>
        <v>Terminado con éxito</v>
      </c>
    </row>
    <row r="44" spans="1:13">
      <c r="A44" s="4" t="s">
        <v>98</v>
      </c>
      <c r="B44" s="4" t="s">
        <v>99</v>
      </c>
      <c r="C44" s="5">
        <v>46250</v>
      </c>
      <c r="D44" s="4">
        <v>3</v>
      </c>
      <c r="E44" s="4" t="s">
        <v>32</v>
      </c>
      <c r="F44" s="4" t="s">
        <v>251</v>
      </c>
      <c r="G44" s="4" t="s">
        <v>252</v>
      </c>
      <c r="H44" s="6">
        <v>1</v>
      </c>
      <c r="I44" s="6">
        <f>IF('Sprint 3'!F17="","",'Sprint 3'!F17)</f>
        <v>1</v>
      </c>
      <c r="J44" s="6">
        <f>'Sprint 3'!G17</f>
        <v>0</v>
      </c>
      <c r="K44" s="4" t="str">
        <f>'Sprint 3'!H17</f>
        <v>Finalizado</v>
      </c>
      <c r="L44" s="4" t="str">
        <f>IF('Sprint 3'!C17="","",'Sprint 3'!C17)</f>
        <v>Jhon</v>
      </c>
      <c r="M44" s="4" t="str">
        <f>IF('Sprint 3'!K17="","",'Sprint 3'!K17)</f>
        <v>Terminado con éxito</v>
      </c>
    </row>
    <row r="45" spans="1:13">
      <c r="A45" s="4" t="s">
        <v>100</v>
      </c>
      <c r="B45" s="4" t="s">
        <v>101</v>
      </c>
      <c r="C45" s="5">
        <v>46250</v>
      </c>
      <c r="D45" s="4">
        <v>3</v>
      </c>
      <c r="E45" s="4" t="s">
        <v>55</v>
      </c>
      <c r="F45" s="4" t="s">
        <v>251</v>
      </c>
      <c r="G45" s="4" t="s">
        <v>252</v>
      </c>
      <c r="H45" s="6">
        <v>1.5</v>
      </c>
      <c r="I45" s="6">
        <f>IF('Sprint 3'!F18="","",'Sprint 3'!F18)</f>
        <v>1.5</v>
      </c>
      <c r="J45" s="6">
        <f>'Sprint 3'!G18</f>
        <v>0</v>
      </c>
      <c r="K45" s="4" t="str">
        <f>'Sprint 3'!H18</f>
        <v>Finalizado</v>
      </c>
      <c r="L45" s="4" t="str">
        <f>IF('Sprint 3'!C18="","",'Sprint 3'!C18)</f>
        <v>Felipe</v>
      </c>
      <c r="M45" s="4" t="str">
        <f>IF('Sprint 3'!K18="","",'Sprint 3'!K18)</f>
        <v>Terminado con éxito</v>
      </c>
    </row>
    <row r="46" spans="1:13">
      <c r="A46" s="4" t="s">
        <v>102</v>
      </c>
      <c r="B46" s="4" t="s">
        <v>103</v>
      </c>
      <c r="C46" s="5">
        <v>46250</v>
      </c>
      <c r="D46" s="4">
        <v>3</v>
      </c>
      <c r="E46" s="4" t="s">
        <v>55</v>
      </c>
      <c r="F46" s="4" t="s">
        <v>251</v>
      </c>
      <c r="G46" s="4" t="s">
        <v>252</v>
      </c>
      <c r="H46" s="6">
        <v>1.5</v>
      </c>
      <c r="I46" s="6">
        <f>IF('Sprint 3'!F19="","",'Sprint 3'!F19)</f>
        <v>1.5</v>
      </c>
      <c r="J46" s="6">
        <f>'Sprint 3'!G19</f>
        <v>0</v>
      </c>
      <c r="K46" s="4" t="str">
        <f>'Sprint 3'!H19</f>
        <v>Finalizado</v>
      </c>
      <c r="L46" s="4" t="str">
        <f>IF('Sprint 3'!C19="","",'Sprint 3'!C19)</f>
        <v>Emanuel</v>
      </c>
      <c r="M46" s="4" t="str">
        <f>IF('Sprint 3'!K19="","",'Sprint 3'!K19)</f>
        <v>Terminado con éxito</v>
      </c>
    </row>
    <row r="47" spans="1:13">
      <c r="A47" s="4" t="s">
        <v>104</v>
      </c>
      <c r="B47" s="4" t="s">
        <v>105</v>
      </c>
      <c r="C47" s="5">
        <v>46250</v>
      </c>
      <c r="D47" s="4">
        <v>4</v>
      </c>
      <c r="E47" s="4" t="s">
        <v>32</v>
      </c>
      <c r="F47" s="4"/>
      <c r="G47" s="4"/>
      <c r="H47" s="6">
        <v>3</v>
      </c>
      <c r="I47" s="6" t="str">
        <f>IF('Sprint 4'!F10="","",'Sprint 4'!F10)</f>
        <v/>
      </c>
      <c r="J47" s="6">
        <f>'Sprint 4'!G10</f>
        <v>3</v>
      </c>
      <c r="K47" s="4" t="str">
        <f>'Sprint 4'!H10</f>
        <v>Pendiente</v>
      </c>
      <c r="L47" s="4" t="str">
        <f>IF('Sprint 4'!C10="","",'Sprint 4'!C10)</f>
        <v>Felipe</v>
      </c>
      <c r="M47" s="4" t="str">
        <f>IF('Sprint 4'!K10="","",'Sprint 4'!K10)</f>
        <v/>
      </c>
    </row>
    <row r="48" spans="1:13">
      <c r="A48" s="4" t="s">
        <v>106</v>
      </c>
      <c r="B48" s="4" t="s">
        <v>107</v>
      </c>
      <c r="C48" s="5">
        <v>46250</v>
      </c>
      <c r="D48" s="4">
        <v>4</v>
      </c>
      <c r="E48" s="4" t="s">
        <v>32</v>
      </c>
      <c r="F48" s="4"/>
      <c r="G48" s="4"/>
      <c r="H48" s="6">
        <v>4</v>
      </c>
      <c r="I48" s="6" t="str">
        <f>IF('Sprint 4'!F11="","",'Sprint 4'!F11)</f>
        <v/>
      </c>
      <c r="J48" s="6">
        <f>'Sprint 4'!G11</f>
        <v>4</v>
      </c>
      <c r="K48" s="4" t="str">
        <f>'Sprint 4'!H11</f>
        <v>Pendiente</v>
      </c>
      <c r="L48" s="4" t="str">
        <f>IF('Sprint 4'!C11="","",'Sprint 4'!C11)</f>
        <v>Felipe</v>
      </c>
      <c r="M48" s="4" t="str">
        <f>IF('Sprint 4'!K11="","",'Sprint 4'!K11)</f>
        <v/>
      </c>
    </row>
    <row r="49" spans="1:13">
      <c r="A49" s="4" t="s">
        <v>108</v>
      </c>
      <c r="B49" s="4" t="s">
        <v>109</v>
      </c>
      <c r="C49" s="5">
        <v>46250</v>
      </c>
      <c r="D49" s="4">
        <v>4</v>
      </c>
      <c r="E49" s="4" t="s">
        <v>32</v>
      </c>
      <c r="F49" s="4"/>
      <c r="G49" s="4"/>
      <c r="H49" s="6">
        <v>2</v>
      </c>
      <c r="I49" s="6">
        <f>IF('Sprint 4'!F12="","",'Sprint 4'!F12)</f>
        <v>2</v>
      </c>
      <c r="J49" s="6">
        <f>'Sprint 4'!G12</f>
        <v>0</v>
      </c>
      <c r="K49" s="4" t="str">
        <f>'Sprint 4'!H12</f>
        <v>Validación</v>
      </c>
      <c r="L49" s="4" t="str">
        <f>IF('Sprint 4'!C12="","",'Sprint 4'!C12)</f>
        <v>Jhon</v>
      </c>
      <c r="M49" s="4" t="str">
        <f>IF('Sprint 4'!K12="","",'Sprint 4'!K12)</f>
        <v/>
      </c>
    </row>
    <row r="50" spans="1:13">
      <c r="A50" s="4" t="s">
        <v>110</v>
      </c>
      <c r="B50" s="4" t="s">
        <v>111</v>
      </c>
      <c r="C50" s="5">
        <v>46250</v>
      </c>
      <c r="D50" s="4">
        <v>4</v>
      </c>
      <c r="E50" s="4" t="s">
        <v>32</v>
      </c>
      <c r="F50" s="4"/>
      <c r="G50" s="4"/>
      <c r="H50" s="6">
        <v>2</v>
      </c>
      <c r="I50" s="6">
        <f>IF('Sprint 4'!F13="","",'Sprint 4'!F13)</f>
        <v>2</v>
      </c>
      <c r="J50" s="6">
        <f>'Sprint 4'!G13</f>
        <v>0</v>
      </c>
      <c r="K50" s="4" t="str">
        <f>'Sprint 4'!H13</f>
        <v>Validación</v>
      </c>
      <c r="L50" s="4" t="str">
        <f>IF('Sprint 4'!C13="","",'Sprint 4'!C13)</f>
        <v>Jhon</v>
      </c>
      <c r="M50" s="4" t="str">
        <f>IF('Sprint 4'!K13="","",'Sprint 4'!K13)</f>
        <v/>
      </c>
    </row>
    <row r="51" spans="1:13">
      <c r="A51" s="4" t="s">
        <v>112</v>
      </c>
      <c r="B51" s="4" t="s">
        <v>113</v>
      </c>
      <c r="C51" s="5">
        <v>46250</v>
      </c>
      <c r="D51" s="4">
        <v>4</v>
      </c>
      <c r="E51" s="4" t="s">
        <v>32</v>
      </c>
      <c r="F51" s="4"/>
      <c r="G51" s="4"/>
      <c r="H51" s="6">
        <v>2</v>
      </c>
      <c r="I51" s="6">
        <f>IF('Sprint 4'!F14="","",'Sprint 4'!F14)</f>
        <v>2</v>
      </c>
      <c r="J51" s="6">
        <f>'Sprint 4'!G14</f>
        <v>0</v>
      </c>
      <c r="K51" s="4" t="str">
        <f>'Sprint 4'!H14</f>
        <v>Validación</v>
      </c>
      <c r="L51" s="4" t="str">
        <f>IF('Sprint 4'!C14="","",'Sprint 4'!C14)</f>
        <v>Jhon</v>
      </c>
      <c r="M51" s="4" t="str">
        <f>IF('Sprint 4'!K14="","",'Sprint 4'!K14)</f>
        <v/>
      </c>
    </row>
    <row r="52" spans="1:13">
      <c r="A52" s="4" t="s">
        <v>114</v>
      </c>
      <c r="B52" s="4" t="s">
        <v>115</v>
      </c>
      <c r="C52" s="5">
        <v>46250</v>
      </c>
      <c r="D52" s="4">
        <v>4</v>
      </c>
      <c r="E52" s="4" t="s">
        <v>32</v>
      </c>
      <c r="F52" s="4"/>
      <c r="G52" s="4"/>
      <c r="H52" s="6">
        <v>2</v>
      </c>
      <c r="I52" s="6">
        <f>IF('Sprint 4'!F15="","",'Sprint 4'!F15)</f>
        <v>2</v>
      </c>
      <c r="J52" s="6">
        <f>'Sprint 4'!G15</f>
        <v>0</v>
      </c>
      <c r="K52" s="4" t="str">
        <f>'Sprint 4'!H15</f>
        <v>Validación</v>
      </c>
      <c r="L52" s="4" t="str">
        <f>IF('Sprint 4'!C15="","",'Sprint 4'!C15)</f>
        <v>Jhon</v>
      </c>
      <c r="M52" s="4" t="str">
        <f>IF('Sprint 4'!K15="","",'Sprint 4'!K15)</f>
        <v/>
      </c>
    </row>
    <row r="53" spans="1:13">
      <c r="A53" s="4" t="s">
        <v>116</v>
      </c>
      <c r="B53" s="4" t="s">
        <v>117</v>
      </c>
      <c r="C53" s="5">
        <v>46250</v>
      </c>
      <c r="D53" s="4">
        <v>4</v>
      </c>
      <c r="E53" s="4" t="s">
        <v>32</v>
      </c>
      <c r="F53" s="4"/>
      <c r="G53" s="4"/>
      <c r="H53" s="6">
        <v>2</v>
      </c>
      <c r="I53" s="6">
        <f>IF('Sprint 4'!F16="","",'Sprint 4'!F16)</f>
        <v>2</v>
      </c>
      <c r="J53" s="6">
        <f>'Sprint 4'!G16</f>
        <v>0</v>
      </c>
      <c r="K53" s="4" t="str">
        <f>'Sprint 4'!H16</f>
        <v>Validación</v>
      </c>
      <c r="L53" s="4" t="str">
        <f>IF('Sprint 4'!C16="","",'Sprint 4'!C16)</f>
        <v>Jhon</v>
      </c>
      <c r="M53" s="4" t="str">
        <f>IF('Sprint 4'!K16="","",'Sprint 4'!K16)</f>
        <v/>
      </c>
    </row>
    <row r="54" spans="1:13" ht="27.6">
      <c r="A54" s="4" t="s">
        <v>118</v>
      </c>
      <c r="B54" s="4" t="s">
        <v>119</v>
      </c>
      <c r="C54" s="5">
        <v>46250</v>
      </c>
      <c r="D54" s="4">
        <v>4</v>
      </c>
      <c r="E54" s="4" t="s">
        <v>32</v>
      </c>
      <c r="F54" s="4"/>
      <c r="G54" s="4"/>
      <c r="H54" s="6">
        <v>1.5</v>
      </c>
      <c r="I54" s="6">
        <f>IF('Sprint 4'!F17="","",'Sprint 4'!F17)</f>
        <v>1</v>
      </c>
      <c r="J54" s="6">
        <f>'Sprint 4'!G17</f>
        <v>0.5</v>
      </c>
      <c r="K54" s="4" t="str">
        <f>'Sprint 4'!H17</f>
        <v>Pendiente</v>
      </c>
      <c r="L54" s="4" t="str">
        <f>IF('Sprint 4'!C17="","",'Sprint 4'!C17)</f>
        <v>Emanuel</v>
      </c>
      <c r="M54" s="4" t="str">
        <f>IF('Sprint 4'!K17="","",'Sprint 4'!K17)</f>
        <v/>
      </c>
    </row>
    <row r="55" spans="1:13" ht="27.6">
      <c r="A55" s="4" t="s">
        <v>120</v>
      </c>
      <c r="B55" s="4" t="s">
        <v>121</v>
      </c>
      <c r="C55" s="5">
        <v>46250</v>
      </c>
      <c r="D55" s="4">
        <v>4</v>
      </c>
      <c r="E55" s="4" t="s">
        <v>55</v>
      </c>
      <c r="F55" s="4"/>
      <c r="G55" s="4"/>
      <c r="H55" s="6">
        <v>2</v>
      </c>
      <c r="I55" s="6">
        <f>IF('Sprint 4'!F18="","",'Sprint 4'!F18)</f>
        <v>1.5</v>
      </c>
      <c r="J55" s="6">
        <f>'Sprint 4'!G18</f>
        <v>0.5</v>
      </c>
      <c r="K55" s="4" t="str">
        <f>'Sprint 4'!H18</f>
        <v>Pendiente</v>
      </c>
      <c r="L55" s="4" t="str">
        <f>IF('Sprint 4'!C18="","",'Sprint 4'!C18)</f>
        <v>Emanuel</v>
      </c>
      <c r="M55" s="4" t="str">
        <f>IF('Sprint 4'!K18="","",'Sprint 4'!K18)</f>
        <v/>
      </c>
    </row>
    <row r="56" spans="1:13" ht="27.6">
      <c r="A56" s="4" t="s">
        <v>122</v>
      </c>
      <c r="B56" s="4" t="s">
        <v>123</v>
      </c>
      <c r="C56" s="5">
        <v>46250</v>
      </c>
      <c r="D56" s="4">
        <v>4</v>
      </c>
      <c r="E56" s="4" t="s">
        <v>32</v>
      </c>
      <c r="F56" s="4"/>
      <c r="G56" s="4"/>
      <c r="H56" s="6">
        <v>2</v>
      </c>
      <c r="I56" s="6">
        <f>IF('Sprint 4'!F19="","",'Sprint 4'!F19)</f>
        <v>2</v>
      </c>
      <c r="J56" s="6">
        <f>'Sprint 4'!G19</f>
        <v>0</v>
      </c>
      <c r="K56" s="4" t="str">
        <f>'Sprint 4'!H19</f>
        <v>Pendiente</v>
      </c>
      <c r="L56" s="4" t="str">
        <f>IF('Sprint 4'!C19="","",'Sprint 4'!C19)</f>
        <v>Emanuel</v>
      </c>
      <c r="M56" s="4" t="str">
        <f>IF('Sprint 4'!K19="","",'Sprint 4'!K19)</f>
        <v/>
      </c>
    </row>
    <row r="57" spans="1:13" ht="27.6">
      <c r="A57" s="4" t="s">
        <v>124</v>
      </c>
      <c r="B57" s="4" t="s">
        <v>125</v>
      </c>
      <c r="C57" s="5">
        <v>46250</v>
      </c>
      <c r="D57" s="4">
        <v>5</v>
      </c>
      <c r="E57" s="4" t="s">
        <v>32</v>
      </c>
      <c r="F57" s="4"/>
      <c r="G57" s="4"/>
      <c r="H57" s="6">
        <v>1</v>
      </c>
      <c r="I57" s="6" t="str">
        <f>IF('Sprint 5'!F10="","",'Sprint 5'!F10)</f>
        <v/>
      </c>
      <c r="J57" s="6">
        <f>'Sprint 5'!G10</f>
        <v>1</v>
      </c>
      <c r="K57" s="4" t="str">
        <f>'Sprint 5'!H10</f>
        <v>Pendiente</v>
      </c>
      <c r="L57" s="4" t="str">
        <f>IF('Sprint 5'!C10="","",'Sprint 5'!C10)</f>
        <v>Felipe</v>
      </c>
      <c r="M57" s="4" t="str">
        <f>IF('Sprint 5'!K10="","",'Sprint 5'!K10)</f>
        <v/>
      </c>
    </row>
    <row r="58" spans="1:13">
      <c r="A58" s="4" t="s">
        <v>126</v>
      </c>
      <c r="B58" s="4" t="s">
        <v>127</v>
      </c>
      <c r="C58" s="5">
        <v>46250</v>
      </c>
      <c r="D58" s="4">
        <v>5</v>
      </c>
      <c r="E58" s="4" t="s">
        <v>32</v>
      </c>
      <c r="F58" s="4"/>
      <c r="G58" s="4"/>
      <c r="H58" s="6">
        <v>1</v>
      </c>
      <c r="I58" s="6" t="str">
        <f>IF('Sprint 5'!F11="","",'Sprint 5'!F11)</f>
        <v/>
      </c>
      <c r="J58" s="6">
        <f>'Sprint 5'!G11</f>
        <v>1</v>
      </c>
      <c r="K58" s="4" t="str">
        <f>'Sprint 5'!H11</f>
        <v>Pendiente</v>
      </c>
      <c r="L58" s="4" t="str">
        <f>IF('Sprint 5'!C11="","",'Sprint 5'!C11)</f>
        <v>Felipe</v>
      </c>
      <c r="M58" s="4" t="str">
        <f>IF('Sprint 5'!K11="","",'Sprint 5'!K11)</f>
        <v/>
      </c>
    </row>
    <row r="59" spans="1:13" ht="27.6">
      <c r="A59" s="4" t="s">
        <v>128</v>
      </c>
      <c r="B59" s="4" t="s">
        <v>129</v>
      </c>
      <c r="C59" s="5">
        <v>46250</v>
      </c>
      <c r="D59" s="4">
        <v>5</v>
      </c>
      <c r="E59" s="4" t="s">
        <v>32</v>
      </c>
      <c r="F59" s="4"/>
      <c r="G59" s="4"/>
      <c r="H59" s="6">
        <v>1</v>
      </c>
      <c r="I59" s="6" t="str">
        <f>IF('Sprint 5'!F12="","",'Sprint 5'!F12)</f>
        <v/>
      </c>
      <c r="J59" s="6">
        <f>'Sprint 5'!G12</f>
        <v>1</v>
      </c>
      <c r="K59" s="4" t="str">
        <f>'Sprint 5'!H12</f>
        <v>Pendiente</v>
      </c>
      <c r="L59" s="4" t="str">
        <f>IF('Sprint 5'!C12="","",'Sprint 5'!C12)</f>
        <v>Felipe</v>
      </c>
      <c r="M59" s="4" t="str">
        <f>IF('Sprint 5'!K12="","",'Sprint 5'!K12)</f>
        <v/>
      </c>
    </row>
    <row r="60" spans="1:13">
      <c r="A60" s="4" t="s">
        <v>130</v>
      </c>
      <c r="B60" s="4" t="s">
        <v>131</v>
      </c>
      <c r="C60" s="5">
        <v>46250</v>
      </c>
      <c r="D60" s="4">
        <v>5</v>
      </c>
      <c r="E60" s="4" t="s">
        <v>32</v>
      </c>
      <c r="F60" s="4"/>
      <c r="G60" s="4"/>
      <c r="H60" s="6">
        <v>2</v>
      </c>
      <c r="I60" s="6" t="str">
        <f>IF('Sprint 5'!F13="","",'Sprint 5'!F13)</f>
        <v/>
      </c>
      <c r="J60" s="6">
        <f>'Sprint 5'!G13</f>
        <v>2</v>
      </c>
      <c r="K60" s="4" t="str">
        <f>'Sprint 5'!H13</f>
        <v>Pendiente</v>
      </c>
      <c r="L60" s="4" t="str">
        <f>IF('Sprint 5'!C13="","",'Sprint 5'!C13)</f>
        <v>Felipe</v>
      </c>
      <c r="M60" s="4" t="str">
        <f>IF('Sprint 5'!K13="","",'Sprint 5'!K13)</f>
        <v/>
      </c>
    </row>
    <row r="61" spans="1:13">
      <c r="A61" s="4" t="s">
        <v>132</v>
      </c>
      <c r="B61" s="4" t="s">
        <v>133</v>
      </c>
      <c r="C61" s="5">
        <v>46250</v>
      </c>
      <c r="D61" s="4">
        <v>5</v>
      </c>
      <c r="E61" s="4" t="s">
        <v>32</v>
      </c>
      <c r="F61" s="4"/>
      <c r="G61" s="4"/>
      <c r="H61" s="6">
        <v>1</v>
      </c>
      <c r="I61" s="6" t="str">
        <f>IF('Sprint 5'!F14="","",'Sprint 5'!F14)</f>
        <v/>
      </c>
      <c r="J61" s="6">
        <f>'Sprint 5'!G14</f>
        <v>1</v>
      </c>
      <c r="K61" s="4" t="str">
        <f>'Sprint 5'!H14</f>
        <v>Pendiente</v>
      </c>
      <c r="L61" s="4" t="str">
        <f>IF('Sprint 5'!C14="","",'Sprint 5'!C14)</f>
        <v>Felipe</v>
      </c>
      <c r="M61" s="4" t="str">
        <f>IF('Sprint 5'!K14="","",'Sprint 5'!K14)</f>
        <v/>
      </c>
    </row>
    <row r="62" spans="1:13">
      <c r="A62" s="4" t="s">
        <v>134</v>
      </c>
      <c r="B62" s="4" t="s">
        <v>135</v>
      </c>
      <c r="C62" s="5">
        <v>46250</v>
      </c>
      <c r="D62" s="4">
        <v>5</v>
      </c>
      <c r="E62" s="4" t="s">
        <v>32</v>
      </c>
      <c r="F62" s="4"/>
      <c r="G62" s="4"/>
      <c r="H62" s="6">
        <v>1.5</v>
      </c>
      <c r="I62" s="6" t="str">
        <f>IF('Sprint 5'!F15="","",'Sprint 5'!F15)</f>
        <v/>
      </c>
      <c r="J62" s="6">
        <f>'Sprint 5'!G15</f>
        <v>1.5</v>
      </c>
      <c r="K62" s="4" t="str">
        <f>'Sprint 5'!H15</f>
        <v>Pendiente</v>
      </c>
      <c r="L62" s="4" t="str">
        <f>IF('Sprint 5'!C15="","",'Sprint 5'!C15)</f>
        <v>Felipe</v>
      </c>
      <c r="M62" s="4" t="str">
        <f>IF('Sprint 5'!K15="","",'Sprint 5'!K15)</f>
        <v/>
      </c>
    </row>
    <row r="63" spans="1:13">
      <c r="A63" s="4" t="s">
        <v>136</v>
      </c>
      <c r="B63" s="4" t="s">
        <v>137</v>
      </c>
      <c r="C63" s="5">
        <v>46250</v>
      </c>
      <c r="D63" s="4">
        <v>5</v>
      </c>
      <c r="E63" s="4" t="s">
        <v>32</v>
      </c>
      <c r="F63" s="4"/>
      <c r="G63" s="4"/>
      <c r="H63" s="6">
        <v>1.5</v>
      </c>
      <c r="I63" s="6" t="str">
        <f>IF('Sprint 5'!F16="","",'Sprint 5'!F16)</f>
        <v/>
      </c>
      <c r="J63" s="6">
        <f>'Sprint 5'!G16</f>
        <v>1.5</v>
      </c>
      <c r="K63" s="4" t="str">
        <f>'Sprint 5'!H16</f>
        <v>Pendiente</v>
      </c>
      <c r="L63" s="4" t="str">
        <f>IF('Sprint 5'!C16="","",'Sprint 5'!C16)</f>
        <v>Felipe</v>
      </c>
      <c r="M63" s="4" t="str">
        <f>IF('Sprint 5'!K16="","",'Sprint 5'!K16)</f>
        <v/>
      </c>
    </row>
    <row r="64" spans="1:13">
      <c r="A64" s="4" t="s">
        <v>138</v>
      </c>
      <c r="B64" s="4" t="s">
        <v>139</v>
      </c>
      <c r="C64" s="5">
        <v>46250</v>
      </c>
      <c r="D64" s="4">
        <v>5</v>
      </c>
      <c r="E64" s="4" t="s">
        <v>32</v>
      </c>
      <c r="F64" s="4"/>
      <c r="G64" s="4"/>
      <c r="H64" s="6">
        <v>1.5</v>
      </c>
      <c r="I64" s="6" t="str">
        <f>IF('Sprint 5'!F17="","",'Sprint 5'!F17)</f>
        <v/>
      </c>
      <c r="J64" s="6">
        <f>'Sprint 5'!G17</f>
        <v>1.5</v>
      </c>
      <c r="K64" s="4" t="str">
        <f>'Sprint 5'!H17</f>
        <v>Pendiente</v>
      </c>
      <c r="L64" s="4" t="str">
        <f>IF('Sprint 5'!C17="","",'Sprint 5'!C17)</f>
        <v>Emanuel</v>
      </c>
      <c r="M64" s="4" t="str">
        <f>IF('Sprint 5'!K17="","",'Sprint 5'!K17)</f>
        <v/>
      </c>
    </row>
    <row r="65" spans="1:13">
      <c r="A65" s="4" t="s">
        <v>140</v>
      </c>
      <c r="B65" s="4" t="s">
        <v>141</v>
      </c>
      <c r="C65" s="5">
        <v>46250</v>
      </c>
      <c r="D65" s="4">
        <v>5</v>
      </c>
      <c r="E65" s="4" t="s">
        <v>32</v>
      </c>
      <c r="F65" s="4"/>
      <c r="G65" s="4"/>
      <c r="H65" s="6">
        <v>1.5</v>
      </c>
      <c r="I65" s="6" t="str">
        <f>IF('Sprint 5'!F18="","",'Sprint 5'!F18)</f>
        <v/>
      </c>
      <c r="J65" s="6">
        <f>'Sprint 5'!G18</f>
        <v>1.5</v>
      </c>
      <c r="K65" s="4" t="str">
        <f>'Sprint 5'!H18</f>
        <v>Pendiente</v>
      </c>
      <c r="L65" s="4" t="str">
        <f>IF('Sprint 5'!C18="","",'Sprint 5'!C18)</f>
        <v>Emanuel</v>
      </c>
      <c r="M65" s="4" t="str">
        <f>IF('Sprint 5'!K18="","",'Sprint 5'!K18)</f>
        <v/>
      </c>
    </row>
    <row r="66" spans="1:13">
      <c r="A66" s="4" t="s">
        <v>142</v>
      </c>
      <c r="B66" s="4" t="s">
        <v>143</v>
      </c>
      <c r="C66" s="5">
        <v>46250</v>
      </c>
      <c r="D66" s="4">
        <v>5</v>
      </c>
      <c r="E66" s="4" t="s">
        <v>32</v>
      </c>
      <c r="F66" s="4"/>
      <c r="G66" s="4"/>
      <c r="H66" s="6">
        <v>1</v>
      </c>
      <c r="I66" s="6" t="str">
        <f>IF('Sprint 5'!F19="","",'Sprint 5'!F19)</f>
        <v/>
      </c>
      <c r="J66" s="6">
        <f>'Sprint 5'!G19</f>
        <v>1</v>
      </c>
      <c r="K66" s="4" t="str">
        <f>'Sprint 5'!H19</f>
        <v>Pendiente</v>
      </c>
      <c r="L66" s="4" t="str">
        <f>IF('Sprint 5'!C19="","",'Sprint 5'!C19)</f>
        <v>Emanuel</v>
      </c>
      <c r="M66" s="4" t="str">
        <f>IF('Sprint 5'!K19="","",'Sprint 5'!K19)</f>
        <v/>
      </c>
    </row>
    <row r="67" spans="1:13">
      <c r="A67" s="4" t="s">
        <v>144</v>
      </c>
      <c r="B67" s="4" t="s">
        <v>145</v>
      </c>
      <c r="C67" s="5">
        <v>46250</v>
      </c>
      <c r="D67" s="4">
        <v>5</v>
      </c>
      <c r="E67" s="4" t="s">
        <v>32</v>
      </c>
      <c r="F67" s="4"/>
      <c r="G67" s="4"/>
      <c r="H67" s="6">
        <v>1</v>
      </c>
      <c r="I67" s="6" t="str">
        <f>IF('Sprint 5'!F20="","",'Sprint 5'!F20)</f>
        <v/>
      </c>
      <c r="J67" s="6">
        <f>'Sprint 5'!G20</f>
        <v>1</v>
      </c>
      <c r="K67" s="4" t="str">
        <f>'Sprint 5'!H20</f>
        <v>Pendiente</v>
      </c>
      <c r="L67" s="4" t="str">
        <f>IF('Sprint 5'!C20="","",'Sprint 5'!C20)</f>
        <v>Emanuel</v>
      </c>
      <c r="M67" s="4" t="str">
        <f>IF('Sprint 5'!K20="","",'Sprint 5'!K20)</f>
        <v/>
      </c>
    </row>
    <row r="68" spans="1:13">
      <c r="A68" s="4" t="s">
        <v>146</v>
      </c>
      <c r="B68" s="4" t="s">
        <v>147</v>
      </c>
      <c r="C68" s="5">
        <v>46250</v>
      </c>
      <c r="D68" s="4">
        <v>5</v>
      </c>
      <c r="E68" s="4" t="s">
        <v>32</v>
      </c>
      <c r="F68" s="4"/>
      <c r="G68" s="4"/>
      <c r="H68" s="6">
        <v>1</v>
      </c>
      <c r="I68" s="6" t="str">
        <f>IF('Sprint 5'!F21="","",'Sprint 5'!F21)</f>
        <v/>
      </c>
      <c r="J68" s="6">
        <f>'Sprint 5'!G21</f>
        <v>1</v>
      </c>
      <c r="K68" s="4" t="str">
        <f>'Sprint 5'!H21</f>
        <v>Pendiente</v>
      </c>
      <c r="L68" s="4" t="str">
        <f>IF('Sprint 5'!C21="","",'Sprint 5'!C21)</f>
        <v>Emanuel</v>
      </c>
      <c r="M68" s="4" t="str">
        <f>IF('Sprint 5'!K21="","",'Sprint 5'!K21)</f>
        <v/>
      </c>
    </row>
    <row r="69" spans="1:13">
      <c r="A69" s="4" t="s">
        <v>148</v>
      </c>
      <c r="B69" s="4" t="s">
        <v>149</v>
      </c>
      <c r="C69" s="5">
        <v>46250</v>
      </c>
      <c r="D69" s="4">
        <v>5</v>
      </c>
      <c r="E69" s="4" t="s">
        <v>32</v>
      </c>
      <c r="F69" s="4"/>
      <c r="G69" s="4"/>
      <c r="H69" s="6">
        <v>2</v>
      </c>
      <c r="I69" s="6" t="str">
        <f>IF('Sprint 5'!F22="","",'Sprint 5'!F22)</f>
        <v/>
      </c>
      <c r="J69" s="6">
        <f>'Sprint 5'!G22</f>
        <v>2</v>
      </c>
      <c r="K69" s="4" t="str">
        <f>'Sprint 5'!H22</f>
        <v>Pendiente</v>
      </c>
      <c r="L69" s="4" t="str">
        <f>IF('Sprint 5'!C22="","",'Sprint 5'!C22)</f>
        <v>Emanuel</v>
      </c>
      <c r="M69" s="4" t="str">
        <f>IF('Sprint 5'!K22="","",'Sprint 5'!K22)</f>
        <v/>
      </c>
    </row>
    <row r="70" spans="1:13">
      <c r="A70" s="4" t="s">
        <v>150</v>
      </c>
      <c r="B70" s="4" t="s">
        <v>151</v>
      </c>
      <c r="C70" s="5">
        <v>46250</v>
      </c>
      <c r="D70" s="4">
        <v>5</v>
      </c>
      <c r="E70" s="4" t="s">
        <v>32</v>
      </c>
      <c r="F70" s="4"/>
      <c r="G70" s="4"/>
      <c r="H70" s="6">
        <v>1.5</v>
      </c>
      <c r="I70" s="6" t="str">
        <f>IF('Sprint 5'!F23="","",'Sprint 5'!F23)</f>
        <v/>
      </c>
      <c r="J70" s="6">
        <f>'Sprint 5'!G23</f>
        <v>1.5</v>
      </c>
      <c r="K70" s="4" t="str">
        <f>'Sprint 5'!H23</f>
        <v>Pendiente</v>
      </c>
      <c r="L70" s="4" t="str">
        <f>IF('Sprint 5'!C23="","",'Sprint 5'!C23)</f>
        <v>Jhon</v>
      </c>
      <c r="M70" s="4" t="str">
        <f>IF('Sprint 5'!K23="","",'Sprint 5'!K23)</f>
        <v/>
      </c>
    </row>
    <row r="71" spans="1:13">
      <c r="A71" s="4" t="s">
        <v>152</v>
      </c>
      <c r="B71" s="4" t="s">
        <v>153</v>
      </c>
      <c r="C71" s="5">
        <v>46250</v>
      </c>
      <c r="D71" s="4">
        <v>5</v>
      </c>
      <c r="E71" s="4" t="s">
        <v>32</v>
      </c>
      <c r="F71" s="4"/>
      <c r="G71" s="4"/>
      <c r="H71" s="6">
        <v>1.5</v>
      </c>
      <c r="I71" s="6" t="str">
        <f>IF('Sprint 5'!F24="","",'Sprint 5'!F24)</f>
        <v/>
      </c>
      <c r="J71" s="6">
        <f>'Sprint 5'!G24</f>
        <v>1.5</v>
      </c>
      <c r="K71" s="4" t="str">
        <f>'Sprint 5'!H24</f>
        <v>Pendiente</v>
      </c>
      <c r="L71" s="4" t="str">
        <f>IF('Sprint 5'!C24="","",'Sprint 5'!C24)</f>
        <v>Jhon</v>
      </c>
      <c r="M71" s="4" t="str">
        <f>IF('Sprint 5'!K24="","",'Sprint 5'!K24)</f>
        <v/>
      </c>
    </row>
    <row r="72" spans="1:13">
      <c r="A72" s="4" t="s">
        <v>154</v>
      </c>
      <c r="B72" s="4" t="s">
        <v>155</v>
      </c>
      <c r="C72" s="5">
        <v>46250</v>
      </c>
      <c r="D72" s="4">
        <v>5</v>
      </c>
      <c r="E72" s="4" t="s">
        <v>32</v>
      </c>
      <c r="F72" s="4"/>
      <c r="G72" s="4"/>
      <c r="H72" s="6">
        <v>1.5</v>
      </c>
      <c r="I72" s="6" t="str">
        <f>IF('Sprint 5'!F25="","",'Sprint 5'!F25)</f>
        <v/>
      </c>
      <c r="J72" s="6">
        <f>'Sprint 5'!G25</f>
        <v>1.5</v>
      </c>
      <c r="K72" s="4" t="str">
        <f>'Sprint 5'!H25</f>
        <v>Pendiente</v>
      </c>
      <c r="L72" s="4" t="str">
        <f>IF('Sprint 5'!C25="","",'Sprint 5'!C25)</f>
        <v>Jhon</v>
      </c>
      <c r="M72" s="4" t="str">
        <f>IF('Sprint 5'!K25="","",'Sprint 5'!K25)</f>
        <v/>
      </c>
    </row>
    <row r="73" spans="1:13">
      <c r="A73" s="4" t="s">
        <v>156</v>
      </c>
      <c r="B73" s="4" t="s">
        <v>157</v>
      </c>
      <c r="C73" s="5">
        <v>46250</v>
      </c>
      <c r="D73" s="4">
        <v>5</v>
      </c>
      <c r="E73" s="4" t="s">
        <v>55</v>
      </c>
      <c r="F73" s="4"/>
      <c r="G73" s="4"/>
      <c r="H73" s="6">
        <v>1</v>
      </c>
      <c r="I73" s="6" t="str">
        <f>IF('Sprint 5'!F26="","",'Sprint 5'!F26)</f>
        <v/>
      </c>
      <c r="J73" s="6">
        <f>'Sprint 5'!G26</f>
        <v>1</v>
      </c>
      <c r="K73" s="4" t="str">
        <f>'Sprint 5'!H26</f>
        <v>Pendiente</v>
      </c>
      <c r="L73" s="4" t="str">
        <f>IF('Sprint 5'!C26="","",'Sprint 5'!C26)</f>
        <v>Jhon</v>
      </c>
      <c r="M73" s="4" t="str">
        <f>IF('Sprint 5'!K26="","",'Sprint 5'!K26)</f>
        <v/>
      </c>
    </row>
    <row r="74" spans="1:13" ht="27.6">
      <c r="A74" s="4" t="s">
        <v>158</v>
      </c>
      <c r="B74" s="4" t="s">
        <v>159</v>
      </c>
      <c r="C74" s="5">
        <v>46250</v>
      </c>
      <c r="D74" s="4">
        <v>5</v>
      </c>
      <c r="E74" s="4" t="s">
        <v>32</v>
      </c>
      <c r="F74" s="4"/>
      <c r="G74" s="4"/>
      <c r="H74" s="6">
        <v>2</v>
      </c>
      <c r="I74" s="6" t="str">
        <f>IF('Sprint 5'!F27="","",'Sprint 5'!F27)</f>
        <v/>
      </c>
      <c r="J74" s="6">
        <f>'Sprint 5'!G27</f>
        <v>2</v>
      </c>
      <c r="K74" s="4" t="str">
        <f>'Sprint 5'!H27</f>
        <v>Pendiente</v>
      </c>
      <c r="L74" s="4" t="str">
        <f>IF('Sprint 5'!C27="","",'Sprint 5'!C27)</f>
        <v>Jhon</v>
      </c>
      <c r="M74" s="4" t="str">
        <f>IF('Sprint 5'!K27="","",'Sprint 5'!K27)</f>
        <v/>
      </c>
    </row>
    <row r="75" spans="1:13">
      <c r="A75" s="4" t="s">
        <v>160</v>
      </c>
      <c r="B75" s="4" t="s">
        <v>161</v>
      </c>
      <c r="C75" s="5">
        <v>46250</v>
      </c>
      <c r="D75" s="4">
        <v>6</v>
      </c>
      <c r="E75" s="4" t="s">
        <v>32</v>
      </c>
      <c r="F75" s="4"/>
      <c r="G75" s="4"/>
      <c r="H75" s="6">
        <v>3</v>
      </c>
      <c r="I75" s="6" t="str">
        <f>IF('Sprint 6'!F10="","",'Sprint 6'!F10)</f>
        <v/>
      </c>
      <c r="J75" s="6">
        <f>'Sprint 6'!G10</f>
        <v>3</v>
      </c>
      <c r="K75" s="4" t="str">
        <f>'Sprint 6'!H10</f>
        <v>Pendiente</v>
      </c>
      <c r="L75" s="4" t="str">
        <f>IF('Sprint 6'!C10="","",'Sprint 6'!C10)</f>
        <v/>
      </c>
      <c r="M75" s="4" t="str">
        <f>IF('Sprint 6'!K10="","",'Sprint 6'!K10)</f>
        <v/>
      </c>
    </row>
    <row r="76" spans="1:13">
      <c r="A76" s="4" t="s">
        <v>162</v>
      </c>
      <c r="B76" s="4" t="s">
        <v>163</v>
      </c>
      <c r="C76" s="5">
        <v>46250</v>
      </c>
      <c r="D76" s="4">
        <v>6</v>
      </c>
      <c r="E76" s="4" t="s">
        <v>32</v>
      </c>
      <c r="F76" s="4"/>
      <c r="G76" s="4"/>
      <c r="H76" s="6">
        <v>1</v>
      </c>
      <c r="I76" s="6" t="str">
        <f>IF('Sprint 6'!F11="","",'Sprint 6'!F11)</f>
        <v/>
      </c>
      <c r="J76" s="6">
        <f>'Sprint 6'!G11</f>
        <v>1</v>
      </c>
      <c r="K76" s="4" t="str">
        <f>'Sprint 6'!H11</f>
        <v>Pendiente</v>
      </c>
      <c r="L76" s="4" t="str">
        <f>IF('Sprint 6'!C11="","",'Sprint 6'!C11)</f>
        <v/>
      </c>
      <c r="M76" s="4" t="str">
        <f>IF('Sprint 6'!K11="","",'Sprint 6'!K11)</f>
        <v/>
      </c>
    </row>
    <row r="77" spans="1:13">
      <c r="A77" s="4" t="s">
        <v>164</v>
      </c>
      <c r="B77" s="4" t="s">
        <v>165</v>
      </c>
      <c r="C77" s="5">
        <v>46250</v>
      </c>
      <c r="D77" s="4">
        <v>6</v>
      </c>
      <c r="E77" s="4" t="s">
        <v>32</v>
      </c>
      <c r="F77" s="4"/>
      <c r="G77" s="4"/>
      <c r="H77" s="6">
        <v>1</v>
      </c>
      <c r="I77" s="6" t="str">
        <f>IF('Sprint 6'!F12="","",'Sprint 6'!F12)</f>
        <v/>
      </c>
      <c r="J77" s="6">
        <f>'Sprint 6'!G12</f>
        <v>1</v>
      </c>
      <c r="K77" s="4" t="str">
        <f>'Sprint 6'!H12</f>
        <v>Pendiente</v>
      </c>
      <c r="L77" s="4" t="str">
        <f>IF('Sprint 6'!C12="","",'Sprint 6'!C12)</f>
        <v/>
      </c>
      <c r="M77" s="4" t="str">
        <f>IF('Sprint 6'!K12="","",'Sprint 6'!K12)</f>
        <v/>
      </c>
    </row>
    <row r="78" spans="1:13">
      <c r="A78" s="4" t="s">
        <v>166</v>
      </c>
      <c r="B78" s="4" t="s">
        <v>167</v>
      </c>
      <c r="C78" s="5">
        <v>46250</v>
      </c>
      <c r="D78" s="4">
        <v>6</v>
      </c>
      <c r="E78" s="4" t="s">
        <v>32</v>
      </c>
      <c r="F78" s="4"/>
      <c r="G78" s="4"/>
      <c r="H78" s="6">
        <v>1.5</v>
      </c>
      <c r="I78" s="6" t="str">
        <f>IF('Sprint 6'!F13="","",'Sprint 6'!F13)</f>
        <v/>
      </c>
      <c r="J78" s="6">
        <f>'Sprint 6'!G13</f>
        <v>1.5</v>
      </c>
      <c r="K78" s="4" t="str">
        <f>'Sprint 6'!H13</f>
        <v>Pendiente</v>
      </c>
      <c r="L78" s="4" t="str">
        <f>IF('Sprint 6'!C13="","",'Sprint 6'!C13)</f>
        <v/>
      </c>
      <c r="M78" s="4" t="str">
        <f>IF('Sprint 6'!K13="","",'Sprint 6'!K13)</f>
        <v/>
      </c>
    </row>
    <row r="79" spans="1:13">
      <c r="A79" s="4" t="s">
        <v>168</v>
      </c>
      <c r="B79" s="4" t="s">
        <v>169</v>
      </c>
      <c r="C79" s="5">
        <v>46250</v>
      </c>
      <c r="D79" s="4">
        <v>6</v>
      </c>
      <c r="E79" s="4" t="s">
        <v>32</v>
      </c>
      <c r="F79" s="4"/>
      <c r="G79" s="4"/>
      <c r="H79" s="6">
        <v>1.5</v>
      </c>
      <c r="I79" s="6" t="str">
        <f>IF('Sprint 6'!F14="","",'Sprint 6'!F14)</f>
        <v/>
      </c>
      <c r="J79" s="6">
        <f>'Sprint 6'!G14</f>
        <v>1.5</v>
      </c>
      <c r="K79" s="4" t="str">
        <f>'Sprint 6'!H14</f>
        <v>Pendiente</v>
      </c>
      <c r="L79" s="4" t="str">
        <f>IF('Sprint 6'!C14="","",'Sprint 6'!C14)</f>
        <v/>
      </c>
      <c r="M79" s="4" t="str">
        <f>IF('Sprint 6'!K14="","",'Sprint 6'!K14)</f>
        <v/>
      </c>
    </row>
    <row r="80" spans="1:13">
      <c r="A80" s="4" t="s">
        <v>170</v>
      </c>
      <c r="B80" s="4" t="s">
        <v>171</v>
      </c>
      <c r="C80" s="5">
        <v>46250</v>
      </c>
      <c r="D80" s="4">
        <v>6</v>
      </c>
      <c r="E80" s="4" t="s">
        <v>32</v>
      </c>
      <c r="F80" s="4"/>
      <c r="G80" s="4"/>
      <c r="H80" s="6">
        <v>5</v>
      </c>
      <c r="I80" s="6" t="str">
        <f>IF('Sprint 6'!F15="","",'Sprint 6'!F15)</f>
        <v/>
      </c>
      <c r="J80" s="6">
        <f>'Sprint 6'!G15</f>
        <v>5</v>
      </c>
      <c r="K80" s="4" t="str">
        <f>'Sprint 6'!H15</f>
        <v>Pendiente</v>
      </c>
      <c r="L80" s="4" t="str">
        <f>IF('Sprint 6'!C15="","",'Sprint 6'!C15)</f>
        <v/>
      </c>
      <c r="M80" s="4" t="str">
        <f>IF('Sprint 6'!K15="","",'Sprint 6'!K15)</f>
        <v/>
      </c>
    </row>
    <row r="81" spans="1:13" ht="27.6">
      <c r="A81" s="4" t="s">
        <v>172</v>
      </c>
      <c r="B81" s="4" t="s">
        <v>173</v>
      </c>
      <c r="C81" s="5">
        <v>46250</v>
      </c>
      <c r="D81" s="4">
        <v>6</v>
      </c>
      <c r="E81" s="4" t="s">
        <v>32</v>
      </c>
      <c r="F81" s="4"/>
      <c r="G81" s="4"/>
      <c r="H81" s="6">
        <v>2</v>
      </c>
      <c r="I81" s="6" t="str">
        <f>IF('Sprint 6'!F16="","",'Sprint 6'!F16)</f>
        <v/>
      </c>
      <c r="J81" s="6">
        <f>'Sprint 6'!G16</f>
        <v>2</v>
      </c>
      <c r="K81" s="4" t="str">
        <f>'Sprint 6'!H16</f>
        <v>Pendiente</v>
      </c>
      <c r="L81" s="4" t="str">
        <f>IF('Sprint 6'!C16="","",'Sprint 6'!C16)</f>
        <v/>
      </c>
      <c r="M81" s="4" t="str">
        <f>IF('Sprint 6'!K16="","",'Sprint 6'!K16)</f>
        <v/>
      </c>
    </row>
    <row r="82" spans="1:13">
      <c r="A82" s="4" t="s">
        <v>174</v>
      </c>
      <c r="B82" s="4" t="s">
        <v>175</v>
      </c>
      <c r="C82" s="5">
        <v>46250</v>
      </c>
      <c r="D82" s="4">
        <v>6</v>
      </c>
      <c r="E82" s="4" t="s">
        <v>32</v>
      </c>
      <c r="F82" s="4"/>
      <c r="G82" s="4"/>
      <c r="H82" s="6">
        <v>1.5</v>
      </c>
      <c r="I82" s="6" t="str">
        <f>IF('Sprint 6'!F17="","",'Sprint 6'!F17)</f>
        <v/>
      </c>
      <c r="J82" s="6">
        <f>'Sprint 6'!G17</f>
        <v>1.5</v>
      </c>
      <c r="K82" s="4" t="str">
        <f>'Sprint 6'!H17</f>
        <v>Pendiente</v>
      </c>
      <c r="L82" s="4" t="str">
        <f>IF('Sprint 6'!C17="","",'Sprint 6'!C17)</f>
        <v/>
      </c>
      <c r="M82" s="4" t="str">
        <f>IF('Sprint 6'!K17="","",'Sprint 6'!K17)</f>
        <v/>
      </c>
    </row>
    <row r="83" spans="1:13" ht="27.6">
      <c r="A83" s="4" t="s">
        <v>176</v>
      </c>
      <c r="B83" s="4" t="s">
        <v>177</v>
      </c>
      <c r="C83" s="5">
        <v>46250</v>
      </c>
      <c r="D83" s="4">
        <v>6</v>
      </c>
      <c r="E83" s="4" t="s">
        <v>32</v>
      </c>
      <c r="F83" s="4"/>
      <c r="G83" s="4"/>
      <c r="H83" s="6">
        <v>1</v>
      </c>
      <c r="I83" s="6" t="str">
        <f>IF('Sprint 6'!F18="","",'Sprint 6'!F18)</f>
        <v/>
      </c>
      <c r="J83" s="6">
        <f>'Sprint 6'!G18</f>
        <v>1</v>
      </c>
      <c r="K83" s="4" t="str">
        <f>'Sprint 6'!H18</f>
        <v>Pendiente</v>
      </c>
      <c r="L83" s="4" t="str">
        <f>IF('Sprint 6'!C18="","",'Sprint 6'!C18)</f>
        <v/>
      </c>
      <c r="M83" s="4" t="str">
        <f>IF('Sprint 6'!K18="","",'Sprint 6'!K18)</f>
        <v/>
      </c>
    </row>
    <row r="84" spans="1:13" ht="27.6">
      <c r="A84" s="4" t="s">
        <v>178</v>
      </c>
      <c r="B84" s="4" t="s">
        <v>179</v>
      </c>
      <c r="C84" s="5">
        <v>46250</v>
      </c>
      <c r="D84" s="4">
        <v>6</v>
      </c>
      <c r="E84" s="4" t="s">
        <v>32</v>
      </c>
      <c r="F84" s="4"/>
      <c r="G84" s="4"/>
      <c r="H84" s="6">
        <v>1</v>
      </c>
      <c r="I84" s="6" t="str">
        <f>IF('Sprint 6'!F19="","",'Sprint 6'!F19)</f>
        <v/>
      </c>
      <c r="J84" s="6">
        <f>'Sprint 6'!G19</f>
        <v>1</v>
      </c>
      <c r="K84" s="4" t="str">
        <f>'Sprint 6'!H19</f>
        <v>Pendiente</v>
      </c>
      <c r="L84" s="4" t="str">
        <f>IF('Sprint 6'!C19="","",'Sprint 6'!C19)</f>
        <v/>
      </c>
      <c r="M84" s="4" t="str">
        <f>IF('Sprint 6'!K19="","",'Sprint 6'!K19)</f>
        <v/>
      </c>
    </row>
    <row r="85" spans="1:13">
      <c r="A85" s="4" t="s">
        <v>180</v>
      </c>
      <c r="B85" s="4" t="s">
        <v>181</v>
      </c>
      <c r="C85" s="5">
        <v>46250</v>
      </c>
      <c r="D85" s="4">
        <v>6</v>
      </c>
      <c r="E85" s="4" t="s">
        <v>32</v>
      </c>
      <c r="F85" s="4"/>
      <c r="G85" s="4"/>
      <c r="H85" s="6">
        <v>4</v>
      </c>
      <c r="I85" s="6" t="str">
        <f>IF('Sprint 6'!F20="","",'Sprint 6'!F20)</f>
        <v/>
      </c>
      <c r="J85" s="6">
        <f>'Sprint 6'!G20</f>
        <v>4</v>
      </c>
      <c r="K85" s="4" t="str">
        <f>'Sprint 6'!H20</f>
        <v>Pendiente</v>
      </c>
      <c r="L85" s="4" t="str">
        <f>IF('Sprint 6'!C20="","",'Sprint 6'!C20)</f>
        <v/>
      </c>
      <c r="M85" s="4" t="str">
        <f>IF('Sprint 6'!K20="","",'Sprint 6'!K20)</f>
        <v/>
      </c>
    </row>
    <row r="86" spans="1:13">
      <c r="A86" s="4" t="s">
        <v>182</v>
      </c>
      <c r="B86" s="4" t="s">
        <v>183</v>
      </c>
      <c r="C86" s="5">
        <v>46250</v>
      </c>
      <c r="D86" s="4">
        <v>6</v>
      </c>
      <c r="E86" s="4" t="s">
        <v>32</v>
      </c>
      <c r="F86" s="4"/>
      <c r="G86" s="4"/>
      <c r="H86" s="6">
        <v>2</v>
      </c>
      <c r="I86" s="6" t="str">
        <f>IF('Sprint 6'!F21="","",'Sprint 6'!F21)</f>
        <v/>
      </c>
      <c r="J86" s="6">
        <f>'Sprint 6'!G21</f>
        <v>2</v>
      </c>
      <c r="K86" s="4" t="str">
        <f>'Sprint 6'!H21</f>
        <v>Pendiente</v>
      </c>
      <c r="L86" s="4" t="str">
        <f>IF('Sprint 6'!C21="","",'Sprint 6'!C21)</f>
        <v/>
      </c>
      <c r="M86" s="4" t="str">
        <f>IF('Sprint 6'!K21="","",'Sprint 6'!K21)</f>
        <v/>
      </c>
    </row>
    <row r="87" spans="1:13">
      <c r="A87" s="4" t="s">
        <v>184</v>
      </c>
      <c r="B87" s="4" t="s">
        <v>185</v>
      </c>
      <c r="C87" s="5">
        <v>46250</v>
      </c>
      <c r="D87" s="4">
        <v>6</v>
      </c>
      <c r="E87" s="4" t="s">
        <v>32</v>
      </c>
      <c r="F87" s="4"/>
      <c r="G87" s="4"/>
      <c r="H87" s="6">
        <v>3</v>
      </c>
      <c r="I87" s="6" t="str">
        <f>IF('Sprint 6'!F22="","",'Sprint 6'!F22)</f>
        <v/>
      </c>
      <c r="J87" s="6">
        <f>'Sprint 6'!G22</f>
        <v>3</v>
      </c>
      <c r="K87" s="4" t="str">
        <f>'Sprint 6'!H22</f>
        <v>Pendiente</v>
      </c>
      <c r="L87" s="4" t="str">
        <f>IF('Sprint 6'!C22="","",'Sprint 6'!C22)</f>
        <v/>
      </c>
      <c r="M87" s="4" t="str">
        <f>IF('Sprint 6'!K22="","",'Sprint 6'!K22)</f>
        <v/>
      </c>
    </row>
    <row r="88" spans="1:13">
      <c r="A88" s="4" t="s">
        <v>186</v>
      </c>
      <c r="B88" s="4" t="s">
        <v>187</v>
      </c>
      <c r="C88" s="5">
        <v>46250</v>
      </c>
      <c r="D88" s="4">
        <v>6</v>
      </c>
      <c r="E88" s="4" t="s">
        <v>55</v>
      </c>
      <c r="F88" s="4"/>
      <c r="G88" s="4"/>
      <c r="H88" s="6">
        <v>1</v>
      </c>
      <c r="I88" s="6" t="str">
        <f>IF('Sprint 6'!F23="","",'Sprint 6'!F23)</f>
        <v/>
      </c>
      <c r="J88" s="6">
        <f>'Sprint 6'!G23</f>
        <v>1</v>
      </c>
      <c r="K88" s="4" t="str">
        <f>'Sprint 6'!H23</f>
        <v>Pendiente</v>
      </c>
      <c r="L88" s="4" t="str">
        <f>IF('Sprint 6'!C23="","",'Sprint 6'!C23)</f>
        <v/>
      </c>
      <c r="M88" s="4" t="str">
        <f>IF('Sprint 6'!K23="","",'Sprint 6'!K23)</f>
        <v/>
      </c>
    </row>
    <row r="89" spans="1:13" ht="27.6">
      <c r="A89" s="4" t="s">
        <v>188</v>
      </c>
      <c r="B89" s="4" t="s">
        <v>189</v>
      </c>
      <c r="C89" s="5">
        <v>46250</v>
      </c>
      <c r="D89" s="4">
        <v>6</v>
      </c>
      <c r="E89" s="4" t="s">
        <v>32</v>
      </c>
      <c r="F89" s="4"/>
      <c r="G89" s="4"/>
      <c r="H89" s="6">
        <v>1.5</v>
      </c>
      <c r="I89" s="6" t="str">
        <f>IF('Sprint 6'!F24="","",'Sprint 6'!F24)</f>
        <v/>
      </c>
      <c r="J89" s="6">
        <f>'Sprint 6'!G24</f>
        <v>1.5</v>
      </c>
      <c r="K89" s="4" t="str">
        <f>'Sprint 6'!H24</f>
        <v>Pendiente</v>
      </c>
      <c r="L89" s="4" t="str">
        <f>IF('Sprint 6'!C24="","",'Sprint 6'!C24)</f>
        <v/>
      </c>
      <c r="M89" s="4" t="str">
        <f>IF('Sprint 6'!K24="","",'Sprint 6'!K24)</f>
        <v/>
      </c>
    </row>
    <row r="90" spans="1:13">
      <c r="A90" s="4" t="s">
        <v>190</v>
      </c>
      <c r="B90" s="4" t="s">
        <v>191</v>
      </c>
      <c r="C90" s="5">
        <v>46250</v>
      </c>
      <c r="D90" s="4">
        <v>6</v>
      </c>
      <c r="E90" s="4" t="s">
        <v>32</v>
      </c>
      <c r="F90" s="4"/>
      <c r="G90" s="4"/>
      <c r="H90" s="6">
        <v>1.5</v>
      </c>
      <c r="I90" s="6" t="str">
        <f>IF('Sprint 6'!F25="","",'Sprint 6'!F25)</f>
        <v/>
      </c>
      <c r="J90" s="6">
        <f>'Sprint 6'!G25</f>
        <v>1.5</v>
      </c>
      <c r="K90" s="4" t="str">
        <f>'Sprint 6'!H25</f>
        <v>Pendiente</v>
      </c>
      <c r="L90" s="4" t="str">
        <f>IF('Sprint 6'!C25="","",'Sprint 6'!C25)</f>
        <v/>
      </c>
      <c r="M90" s="4" t="str">
        <f>IF('Sprint 6'!K25="","",'Sprint 6'!K25)</f>
        <v/>
      </c>
    </row>
    <row r="91" spans="1:13">
      <c r="A91" s="4" t="s">
        <v>192</v>
      </c>
      <c r="B91" s="4" t="s">
        <v>193</v>
      </c>
      <c r="C91" s="5">
        <v>46250</v>
      </c>
      <c r="D91" s="4">
        <v>6</v>
      </c>
      <c r="E91" s="4" t="s">
        <v>32</v>
      </c>
      <c r="F91" s="4"/>
      <c r="G91" s="4"/>
      <c r="H91" s="6">
        <v>1</v>
      </c>
      <c r="I91" s="6" t="str">
        <f>IF('Sprint 6'!F26="","",'Sprint 6'!F26)</f>
        <v/>
      </c>
      <c r="J91" s="6">
        <f>'Sprint 6'!G26</f>
        <v>1</v>
      </c>
      <c r="K91" s="4" t="str">
        <f>'Sprint 6'!H26</f>
        <v>Pendiente</v>
      </c>
      <c r="L91" s="4" t="str">
        <f>IF('Sprint 6'!C26="","",'Sprint 6'!C26)</f>
        <v/>
      </c>
      <c r="M91" s="4" t="str">
        <f>IF('Sprint 6'!K26="","",'Sprint 6'!K26)</f>
        <v/>
      </c>
    </row>
    <row r="92" spans="1:13" ht="27.6">
      <c r="A92" s="4" t="s">
        <v>194</v>
      </c>
      <c r="B92" s="4" t="s">
        <v>195</v>
      </c>
      <c r="C92" s="5">
        <v>46250</v>
      </c>
      <c r="D92" s="4">
        <v>6</v>
      </c>
      <c r="E92" s="4" t="s">
        <v>55</v>
      </c>
      <c r="F92" s="4"/>
      <c r="G92" s="4"/>
      <c r="H92" s="6">
        <v>1.5</v>
      </c>
      <c r="I92" s="6" t="str">
        <f>IF('Sprint 6'!F27="","",'Sprint 6'!F27)</f>
        <v/>
      </c>
      <c r="J92" s="6">
        <f>'Sprint 6'!G27</f>
        <v>1.5</v>
      </c>
      <c r="K92" s="4" t="str">
        <f>'Sprint 6'!H27</f>
        <v>Pendiente</v>
      </c>
      <c r="L92" s="4" t="str">
        <f>IF('Sprint 6'!C27="","",'Sprint 6'!C27)</f>
        <v/>
      </c>
      <c r="M92" s="4" t="str">
        <f>IF('Sprint 6'!K27="","",'Sprint 6'!K27)</f>
        <v/>
      </c>
    </row>
    <row r="93" spans="1:13">
      <c r="A93" s="4" t="s">
        <v>196</v>
      </c>
      <c r="B93" s="4" t="s">
        <v>197</v>
      </c>
      <c r="C93" s="5">
        <v>46250</v>
      </c>
      <c r="D93" s="4">
        <v>6</v>
      </c>
      <c r="E93" s="4" t="s">
        <v>32</v>
      </c>
      <c r="F93" s="4"/>
      <c r="G93" s="4"/>
      <c r="H93" s="6">
        <v>1</v>
      </c>
      <c r="I93" s="6" t="str">
        <f>IF('Sprint 6'!F28="","",'Sprint 6'!F28)</f>
        <v/>
      </c>
      <c r="J93" s="6">
        <f>'Sprint 6'!G28</f>
        <v>1</v>
      </c>
      <c r="K93" s="4" t="str">
        <f>'Sprint 6'!H28</f>
        <v>Pendiente</v>
      </c>
      <c r="L93" s="4" t="str">
        <f>IF('Sprint 6'!C28="","",'Sprint 6'!C28)</f>
        <v/>
      </c>
      <c r="M93" s="4" t="str">
        <f>IF('Sprint 6'!K28="","",'Sprint 6'!K28)</f>
        <v/>
      </c>
    </row>
    <row r="94" spans="1:13">
      <c r="A94" s="4" t="s">
        <v>198</v>
      </c>
      <c r="B94" s="4" t="s">
        <v>199</v>
      </c>
      <c r="C94" s="5">
        <v>46250</v>
      </c>
      <c r="D94" s="4">
        <v>6</v>
      </c>
      <c r="E94" s="4" t="s">
        <v>32</v>
      </c>
      <c r="F94" s="4"/>
      <c r="G94" s="4"/>
      <c r="H94" s="6">
        <v>2</v>
      </c>
      <c r="I94" s="6" t="str">
        <f>IF('Sprint 6'!F29="","",'Sprint 6'!F29)</f>
        <v/>
      </c>
      <c r="J94" s="6">
        <f>'Sprint 6'!G29</f>
        <v>2</v>
      </c>
      <c r="K94" s="4" t="str">
        <f>'Sprint 6'!H29</f>
        <v>Pendiente</v>
      </c>
      <c r="L94" s="4" t="str">
        <f>IF('Sprint 6'!C29="","",'Sprint 6'!C29)</f>
        <v/>
      </c>
      <c r="M94" s="4" t="str">
        <f>IF('Sprint 6'!K29="","",'Sprint 6'!K29)</f>
        <v/>
      </c>
    </row>
  </sheetData>
  <mergeCells count="3">
    <mergeCell ref="A1:M1"/>
    <mergeCell ref="A2:M2"/>
    <mergeCell ref="N1:Q1"/>
  </mergeCells>
  <conditionalFormatting sqref="K11:K94">
    <cfRule type="expression" dxfId="32" priority="1">
      <formula>$K11="Finalizado"</formula>
    </cfRule>
    <cfRule type="expression" dxfId="31" priority="2">
      <formula>$K11="En progreso"</formula>
    </cfRule>
    <cfRule type="expression" dxfId="30" priority="3">
      <formula>$K11="Validación"</formula>
    </cfRule>
    <cfRule type="expression" dxfId="29" priority="4">
      <formula>$K11="Pendiente"</formula>
    </cfRule>
    <cfRule type="expression" dxfId="28" priority="5">
      <formula>$K11="Bloqueado"</formula>
    </cfRule>
  </conditionalFormatting>
  <dataValidations count="2">
    <dataValidation type="list" sqref="E11:E94" xr:uid="{00000000-0002-0000-0000-000000000000}">
      <formula1>"Alta,Media,Baja"</formula1>
    </dataValidation>
    <dataValidation type="list" sqref="F11:G94" xr:uid="{00000000-0002-0000-0000-000001000000}">
      <formula1>"Alto,Medio,Bajo"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opLeftCell="A5" zoomScale="80" zoomScaleNormal="80" workbookViewId="0">
      <selection activeCell="C26" sqref="C26"/>
    </sheetView>
  </sheetViews>
  <sheetFormatPr defaultColWidth="9" defaultRowHeight="13.8"/>
  <cols>
    <col min="1" max="1" width="22.8984375" bestFit="1" customWidth="1"/>
    <col min="2" max="2" width="51.09765625" bestFit="1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200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202</v>
      </c>
      <c r="C2" s="10"/>
      <c r="D2" s="10"/>
      <c r="E2" s="10"/>
      <c r="G2" s="1" t="s">
        <v>3</v>
      </c>
      <c r="H2" s="2">
        <f>COUNTA(A10:A21)</f>
        <v>12</v>
      </c>
    </row>
    <row r="3" spans="1:11" ht="16.8">
      <c r="A3" s="7" t="s">
        <v>203</v>
      </c>
      <c r="B3" s="10" t="s">
        <v>204</v>
      </c>
      <c r="C3" s="10"/>
      <c r="D3" s="10"/>
      <c r="E3" s="10"/>
      <c r="G3" s="1" t="s">
        <v>5</v>
      </c>
      <c r="H3" s="2">
        <f>COUNTIF(H10:H21,"Finalizado")</f>
        <v>12</v>
      </c>
    </row>
    <row r="4" spans="1:11" ht="16.8">
      <c r="A4" s="7" t="s">
        <v>205</v>
      </c>
      <c r="B4" s="10" t="s">
        <v>206</v>
      </c>
      <c r="C4" s="10"/>
      <c r="D4" s="10"/>
      <c r="E4" s="10"/>
      <c r="G4" s="1" t="s">
        <v>207</v>
      </c>
      <c r="H4" s="2">
        <f>SUM(E10:E21)</f>
        <v>12.5</v>
      </c>
    </row>
    <row r="5" spans="1:11" ht="16.8">
      <c r="A5" s="7" t="s">
        <v>248</v>
      </c>
      <c r="B5" s="10" t="s">
        <v>208</v>
      </c>
      <c r="C5" s="10"/>
      <c r="D5" s="10"/>
      <c r="E5" s="10"/>
      <c r="G5" s="1" t="s">
        <v>209</v>
      </c>
      <c r="H5" s="2">
        <f>SUM(F10:F21)</f>
        <v>12.5</v>
      </c>
    </row>
    <row r="6" spans="1:11" ht="16.8">
      <c r="G6" s="1" t="s">
        <v>210</v>
      </c>
      <c r="H6" s="2">
        <f>SUM(G10:G21)</f>
        <v>0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>
      <c r="A10" s="4" t="s">
        <v>30</v>
      </c>
      <c r="B10" s="4" t="s">
        <v>31</v>
      </c>
      <c r="C10" s="4" t="s">
        <v>246</v>
      </c>
      <c r="D10" s="4" t="s">
        <v>32</v>
      </c>
      <c r="E10" s="6">
        <v>1</v>
      </c>
      <c r="F10" s="6">
        <v>1</v>
      </c>
      <c r="G10" s="6">
        <f t="shared" ref="G10:G21" si="0">IF(H10="Finalizado",0,MAX(E10-IF(F10="",0,F10),0))</f>
        <v>0</v>
      </c>
      <c r="H10" s="4" t="s">
        <v>220</v>
      </c>
      <c r="I10" s="5">
        <v>46250</v>
      </c>
      <c r="J10" s="5">
        <v>46251</v>
      </c>
      <c r="K10" s="4" t="s">
        <v>247</v>
      </c>
    </row>
    <row r="11" spans="1:11">
      <c r="A11" s="4" t="s">
        <v>33</v>
      </c>
      <c r="B11" s="4" t="s">
        <v>34</v>
      </c>
      <c r="C11" s="4" t="s">
        <v>246</v>
      </c>
      <c r="D11" s="4" t="s">
        <v>32</v>
      </c>
      <c r="E11" s="6">
        <v>1</v>
      </c>
      <c r="F11" s="6">
        <v>1</v>
      </c>
      <c r="G11" s="6">
        <f t="shared" si="0"/>
        <v>0</v>
      </c>
      <c r="H11" s="4" t="s">
        <v>220</v>
      </c>
      <c r="I11" s="5">
        <v>46250</v>
      </c>
      <c r="J11" s="5">
        <v>46251</v>
      </c>
      <c r="K11" s="4" t="s">
        <v>247</v>
      </c>
    </row>
    <row r="12" spans="1:11">
      <c r="A12" s="4" t="s">
        <v>35</v>
      </c>
      <c r="B12" s="4" t="s">
        <v>36</v>
      </c>
      <c r="C12" s="4" t="s">
        <v>246</v>
      </c>
      <c r="D12" s="4" t="s">
        <v>32</v>
      </c>
      <c r="E12" s="6">
        <v>1</v>
      </c>
      <c r="F12" s="6">
        <v>1</v>
      </c>
      <c r="G12" s="6">
        <f t="shared" si="0"/>
        <v>0</v>
      </c>
      <c r="H12" s="4" t="s">
        <v>220</v>
      </c>
      <c r="I12" s="5">
        <v>46250</v>
      </c>
      <c r="J12" s="5">
        <v>46251</v>
      </c>
      <c r="K12" s="4" t="s">
        <v>247</v>
      </c>
    </row>
    <row r="13" spans="1:11">
      <c r="A13" s="4" t="s">
        <v>37</v>
      </c>
      <c r="B13" s="4" t="s">
        <v>38</v>
      </c>
      <c r="C13" s="4" t="s">
        <v>246</v>
      </c>
      <c r="D13" s="4" t="s">
        <v>32</v>
      </c>
      <c r="E13" s="6">
        <v>2</v>
      </c>
      <c r="F13" s="6">
        <v>2</v>
      </c>
      <c r="G13" s="6">
        <f t="shared" si="0"/>
        <v>0</v>
      </c>
      <c r="H13" s="4" t="s">
        <v>220</v>
      </c>
      <c r="I13" s="5">
        <v>46250</v>
      </c>
      <c r="J13" s="5">
        <v>46251</v>
      </c>
      <c r="K13" s="4" t="s">
        <v>247</v>
      </c>
    </row>
    <row r="14" spans="1:11">
      <c r="A14" s="4" t="s">
        <v>39</v>
      </c>
      <c r="B14" s="4" t="s">
        <v>40</v>
      </c>
      <c r="C14" s="4" t="s">
        <v>246</v>
      </c>
      <c r="D14" s="4" t="s">
        <v>32</v>
      </c>
      <c r="E14" s="6">
        <v>0.5</v>
      </c>
      <c r="F14" s="6">
        <v>0.5</v>
      </c>
      <c r="G14" s="6">
        <f t="shared" si="0"/>
        <v>0</v>
      </c>
      <c r="H14" s="4" t="s">
        <v>220</v>
      </c>
      <c r="I14" s="5">
        <v>46250</v>
      </c>
      <c r="J14" s="5">
        <v>46251</v>
      </c>
      <c r="K14" s="4" t="s">
        <v>247</v>
      </c>
    </row>
    <row r="15" spans="1:11">
      <c r="A15" s="4" t="s">
        <v>41</v>
      </c>
      <c r="B15" s="4" t="s">
        <v>42</v>
      </c>
      <c r="C15" s="4" t="s">
        <v>246</v>
      </c>
      <c r="D15" s="4" t="s">
        <v>32</v>
      </c>
      <c r="E15" s="6">
        <v>1</v>
      </c>
      <c r="F15" s="6">
        <v>1</v>
      </c>
      <c r="G15" s="6">
        <f t="shared" si="0"/>
        <v>0</v>
      </c>
      <c r="H15" s="4" t="s">
        <v>220</v>
      </c>
      <c r="I15" s="5">
        <v>46250</v>
      </c>
      <c r="J15" s="5">
        <v>46251</v>
      </c>
      <c r="K15" s="4" t="s">
        <v>247</v>
      </c>
    </row>
    <row r="16" spans="1:11">
      <c r="A16" s="4" t="s">
        <v>43</v>
      </c>
      <c r="B16" s="4" t="s">
        <v>44</v>
      </c>
      <c r="C16" s="4" t="s">
        <v>246</v>
      </c>
      <c r="D16" s="4" t="s">
        <v>32</v>
      </c>
      <c r="E16" s="6">
        <v>1</v>
      </c>
      <c r="F16" s="6">
        <v>1</v>
      </c>
      <c r="G16" s="6">
        <f t="shared" si="0"/>
        <v>0</v>
      </c>
      <c r="H16" s="4" t="s">
        <v>220</v>
      </c>
      <c r="I16" s="5">
        <v>46250</v>
      </c>
      <c r="J16" s="5">
        <v>46251</v>
      </c>
      <c r="K16" s="4" t="s">
        <v>247</v>
      </c>
    </row>
    <row r="17" spans="1:11" ht="27.6">
      <c r="A17" s="4" t="s">
        <v>45</v>
      </c>
      <c r="B17" s="4" t="s">
        <v>46</v>
      </c>
      <c r="C17" s="4" t="s">
        <v>246</v>
      </c>
      <c r="D17" s="4" t="s">
        <v>32</v>
      </c>
      <c r="E17" s="6">
        <v>1</v>
      </c>
      <c r="F17" s="6">
        <v>1</v>
      </c>
      <c r="G17" s="6">
        <f t="shared" si="0"/>
        <v>0</v>
      </c>
      <c r="H17" s="4" t="s">
        <v>220</v>
      </c>
      <c r="I17" s="5">
        <v>46250</v>
      </c>
      <c r="J17" s="5">
        <v>46251</v>
      </c>
      <c r="K17" s="4" t="s">
        <v>247</v>
      </c>
    </row>
    <row r="18" spans="1:11">
      <c r="A18" s="4" t="s">
        <v>47</v>
      </c>
      <c r="B18" s="4" t="s">
        <v>48</v>
      </c>
      <c r="C18" s="4" t="s">
        <v>246</v>
      </c>
      <c r="D18" s="4" t="s">
        <v>32</v>
      </c>
      <c r="E18" s="6">
        <v>0.5</v>
      </c>
      <c r="F18" s="6">
        <v>0.5</v>
      </c>
      <c r="G18" s="6">
        <f t="shared" si="0"/>
        <v>0</v>
      </c>
      <c r="H18" s="4" t="s">
        <v>220</v>
      </c>
      <c r="I18" s="5">
        <v>46250</v>
      </c>
      <c r="J18" s="5">
        <v>46251</v>
      </c>
      <c r="K18" s="4" t="s">
        <v>247</v>
      </c>
    </row>
    <row r="19" spans="1:11">
      <c r="A19" s="4" t="s">
        <v>49</v>
      </c>
      <c r="B19" s="4" t="s">
        <v>50</v>
      </c>
      <c r="C19" s="4" t="s">
        <v>250</v>
      </c>
      <c r="D19" s="4" t="s">
        <v>32</v>
      </c>
      <c r="E19" s="6">
        <v>2</v>
      </c>
      <c r="F19" s="6">
        <v>2</v>
      </c>
      <c r="G19" s="6">
        <f t="shared" si="0"/>
        <v>0</v>
      </c>
      <c r="H19" s="4" t="s">
        <v>220</v>
      </c>
      <c r="I19" s="5">
        <v>46250</v>
      </c>
      <c r="J19" s="5">
        <v>46251</v>
      </c>
      <c r="K19" s="4" t="s">
        <v>247</v>
      </c>
    </row>
    <row r="20" spans="1:11" ht="27.6">
      <c r="A20" s="4" t="s">
        <v>51</v>
      </c>
      <c r="B20" s="4" t="s">
        <v>52</v>
      </c>
      <c r="C20" s="4" t="s">
        <v>249</v>
      </c>
      <c r="D20" s="4" t="s">
        <v>32</v>
      </c>
      <c r="E20" s="6">
        <v>1</v>
      </c>
      <c r="F20" s="6">
        <v>1</v>
      </c>
      <c r="G20" s="6">
        <f t="shared" si="0"/>
        <v>0</v>
      </c>
      <c r="H20" s="4" t="s">
        <v>220</v>
      </c>
      <c r="I20" s="5">
        <v>46250</v>
      </c>
      <c r="J20" s="5">
        <v>46251</v>
      </c>
      <c r="K20" s="4" t="s">
        <v>247</v>
      </c>
    </row>
    <row r="21" spans="1:11">
      <c r="A21" s="4" t="s">
        <v>53</v>
      </c>
      <c r="B21" s="4" t="s">
        <v>54</v>
      </c>
      <c r="C21" s="4" t="s">
        <v>246</v>
      </c>
      <c r="D21" s="4" t="s">
        <v>55</v>
      </c>
      <c r="E21" s="6">
        <v>0.5</v>
      </c>
      <c r="F21" s="6">
        <v>0.5</v>
      </c>
      <c r="G21" s="6">
        <f t="shared" si="0"/>
        <v>0</v>
      </c>
      <c r="H21" s="4" t="s">
        <v>220</v>
      </c>
      <c r="I21" s="5">
        <v>46250</v>
      </c>
      <c r="J21" s="5">
        <v>46251</v>
      </c>
      <c r="K21" s="4" t="s">
        <v>247</v>
      </c>
    </row>
  </sheetData>
  <mergeCells count="6">
    <mergeCell ref="A7:K7"/>
    <mergeCell ref="A1:K1"/>
    <mergeCell ref="B2:E2"/>
    <mergeCell ref="B3:E3"/>
    <mergeCell ref="B4:E4"/>
    <mergeCell ref="B5:E5"/>
  </mergeCells>
  <conditionalFormatting sqref="H10:H21">
    <cfRule type="expression" dxfId="27" priority="1">
      <formula>$H10="Finalizado"</formula>
    </cfRule>
    <cfRule type="expression" dxfId="26" priority="2">
      <formula>$H10="En progreso"</formula>
    </cfRule>
    <cfRule type="expression" dxfId="25" priority="3">
      <formula>$H10="Validación"</formula>
    </cfRule>
    <cfRule type="expression" dxfId="24" priority="4">
      <formula>$H10="Bloqueado"</formula>
    </cfRule>
  </conditionalFormatting>
  <dataValidations count="2">
    <dataValidation type="list" sqref="D10:D21" xr:uid="{00000000-0002-0000-0100-000000000000}">
      <formula1>"Alta,Media,Baja"</formula1>
    </dataValidation>
    <dataValidation type="list" sqref="H10:H21" xr:uid="{00000000-0002-0000-01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topLeftCell="B9" zoomScale="80" zoomScaleNormal="80" workbookViewId="0">
      <selection activeCell="G23" sqref="G23"/>
    </sheetView>
  </sheetViews>
  <sheetFormatPr defaultColWidth="9" defaultRowHeight="13.8"/>
  <cols>
    <col min="1" max="1" width="25.59765625" bestFit="1" customWidth="1"/>
    <col min="2" max="2" width="48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222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223</v>
      </c>
      <c r="C2" s="10"/>
      <c r="D2" s="10"/>
      <c r="E2" s="10"/>
      <c r="G2" s="1" t="s">
        <v>3</v>
      </c>
      <c r="H2" s="2">
        <f>COUNTA(A10:A23)</f>
        <v>14</v>
      </c>
    </row>
    <row r="3" spans="1:11" ht="16.8">
      <c r="A3" s="7" t="s">
        <v>203</v>
      </c>
      <c r="B3" s="10" t="s">
        <v>224</v>
      </c>
      <c r="C3" s="10"/>
      <c r="D3" s="10"/>
      <c r="E3" s="10"/>
      <c r="G3" s="1" t="s">
        <v>5</v>
      </c>
      <c r="H3" s="2">
        <f>COUNTIF(H10:H23,"Finalizado")</f>
        <v>14</v>
      </c>
    </row>
    <row r="4" spans="1:11" ht="16.8">
      <c r="A4" s="7" t="s">
        <v>205</v>
      </c>
      <c r="B4" s="10" t="s">
        <v>225</v>
      </c>
      <c r="C4" s="10"/>
      <c r="D4" s="10"/>
      <c r="E4" s="10"/>
      <c r="G4" s="1" t="s">
        <v>207</v>
      </c>
      <c r="H4" s="2">
        <f>SUM(E10:E23)</f>
        <v>23.5</v>
      </c>
    </row>
    <row r="5" spans="1:11" ht="16.8">
      <c r="A5" s="7" t="s">
        <v>248</v>
      </c>
      <c r="B5" s="10" t="s">
        <v>226</v>
      </c>
      <c r="C5" s="10"/>
      <c r="D5" s="10"/>
      <c r="E5" s="10"/>
      <c r="G5" s="1" t="s">
        <v>209</v>
      </c>
      <c r="H5" s="2">
        <f>SUM(F10:F23)</f>
        <v>23.5</v>
      </c>
    </row>
    <row r="6" spans="1:11" ht="16.8">
      <c r="G6" s="1" t="s">
        <v>210</v>
      </c>
      <c r="H6" s="2">
        <f>SUM(G10:G23)</f>
        <v>0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 ht="27.6">
      <c r="A10" s="4" t="s">
        <v>56</v>
      </c>
      <c r="B10" s="4" t="s">
        <v>57</v>
      </c>
      <c r="C10" s="4" t="s">
        <v>253</v>
      </c>
      <c r="D10" s="4" t="s">
        <v>32</v>
      </c>
      <c r="E10" s="6">
        <v>1</v>
      </c>
      <c r="F10" s="6">
        <v>1</v>
      </c>
      <c r="G10" s="6">
        <f t="shared" ref="G10:G23" si="0">IF(H10="Finalizado",0,MAX(E10-IF(F10="",0,F10),0))</f>
        <v>0</v>
      </c>
      <c r="H10" s="4" t="s">
        <v>220</v>
      </c>
      <c r="I10" s="5">
        <v>46263</v>
      </c>
      <c r="J10" s="5">
        <v>46269</v>
      </c>
      <c r="K10" s="4" t="s">
        <v>247</v>
      </c>
    </row>
    <row r="11" spans="1:11" ht="27.6">
      <c r="A11" s="4" t="s">
        <v>58</v>
      </c>
      <c r="B11" s="4" t="s">
        <v>59</v>
      </c>
      <c r="C11" s="4" t="s">
        <v>253</v>
      </c>
      <c r="D11" s="4" t="s">
        <v>32</v>
      </c>
      <c r="E11" s="6">
        <v>2</v>
      </c>
      <c r="F11" s="6">
        <v>2</v>
      </c>
      <c r="G11" s="6">
        <f t="shared" si="0"/>
        <v>0</v>
      </c>
      <c r="H11" s="4" t="s">
        <v>220</v>
      </c>
      <c r="I11" s="5">
        <v>46263</v>
      </c>
      <c r="J11" s="5">
        <v>46269</v>
      </c>
      <c r="K11" s="4" t="s">
        <v>247</v>
      </c>
    </row>
    <row r="12" spans="1:11" ht="27.6">
      <c r="A12" s="4" t="s">
        <v>60</v>
      </c>
      <c r="B12" s="4" t="s">
        <v>61</v>
      </c>
      <c r="C12" s="4" t="s">
        <v>253</v>
      </c>
      <c r="D12" s="4" t="s">
        <v>32</v>
      </c>
      <c r="E12" s="6">
        <v>2</v>
      </c>
      <c r="F12" s="6">
        <v>2</v>
      </c>
      <c r="G12" s="6">
        <f t="shared" si="0"/>
        <v>0</v>
      </c>
      <c r="H12" s="4" t="s">
        <v>220</v>
      </c>
      <c r="I12" s="5">
        <v>46263</v>
      </c>
      <c r="J12" s="5">
        <v>46269</v>
      </c>
      <c r="K12" s="4" t="s">
        <v>247</v>
      </c>
    </row>
    <row r="13" spans="1:11" ht="33.75" customHeight="1">
      <c r="A13" s="4" t="s">
        <v>62</v>
      </c>
      <c r="B13" s="4" t="s">
        <v>63</v>
      </c>
      <c r="C13" s="4" t="s">
        <v>253</v>
      </c>
      <c r="D13" s="4" t="s">
        <v>32</v>
      </c>
      <c r="E13" s="6">
        <v>1</v>
      </c>
      <c r="F13" s="6">
        <v>1</v>
      </c>
      <c r="G13" s="6">
        <f t="shared" si="0"/>
        <v>0</v>
      </c>
      <c r="H13" s="4" t="s">
        <v>220</v>
      </c>
      <c r="I13" s="5">
        <v>46263</v>
      </c>
      <c r="J13" s="5">
        <v>46269</v>
      </c>
      <c r="K13" s="4" t="s">
        <v>247</v>
      </c>
    </row>
    <row r="14" spans="1:11" ht="26.25" customHeight="1">
      <c r="A14" s="4" t="s">
        <v>64</v>
      </c>
      <c r="B14" s="4" t="s">
        <v>65</v>
      </c>
      <c r="C14" s="4" t="s">
        <v>250</v>
      </c>
      <c r="D14" s="4" t="s">
        <v>32</v>
      </c>
      <c r="E14" s="6">
        <v>1.5</v>
      </c>
      <c r="F14" s="6">
        <v>1.5</v>
      </c>
      <c r="G14" s="6">
        <f t="shared" si="0"/>
        <v>0</v>
      </c>
      <c r="H14" s="4" t="s">
        <v>220</v>
      </c>
      <c r="I14" s="5">
        <v>46271</v>
      </c>
      <c r="J14" s="5">
        <v>46273</v>
      </c>
      <c r="K14" s="4" t="s">
        <v>247</v>
      </c>
    </row>
    <row r="15" spans="1:11">
      <c r="A15" s="4" t="s">
        <v>66</v>
      </c>
      <c r="B15" s="4" t="s">
        <v>67</v>
      </c>
      <c r="C15" s="4" t="s">
        <v>250</v>
      </c>
      <c r="D15" s="4" t="s">
        <v>32</v>
      </c>
      <c r="E15" s="6">
        <v>2</v>
      </c>
      <c r="F15" s="6">
        <v>2</v>
      </c>
      <c r="G15" s="6">
        <f t="shared" si="0"/>
        <v>0</v>
      </c>
      <c r="H15" s="4" t="s">
        <v>220</v>
      </c>
      <c r="I15" s="5">
        <v>46271</v>
      </c>
      <c r="J15" s="5">
        <v>46273</v>
      </c>
      <c r="K15" s="4" t="s">
        <v>247</v>
      </c>
    </row>
    <row r="16" spans="1:11">
      <c r="A16" s="4" t="s">
        <v>68</v>
      </c>
      <c r="B16" s="4" t="s">
        <v>69</v>
      </c>
      <c r="C16" s="4" t="s">
        <v>250</v>
      </c>
      <c r="D16" s="4" t="s">
        <v>32</v>
      </c>
      <c r="E16" s="6">
        <v>1.5</v>
      </c>
      <c r="F16" s="6">
        <v>1.5</v>
      </c>
      <c r="G16" s="6">
        <f t="shared" si="0"/>
        <v>0</v>
      </c>
      <c r="H16" s="4" t="s">
        <v>220</v>
      </c>
      <c r="I16" s="5">
        <v>46271</v>
      </c>
      <c r="J16" s="5">
        <v>46273</v>
      </c>
      <c r="K16" s="4" t="s">
        <v>247</v>
      </c>
    </row>
    <row r="17" spans="1:11">
      <c r="A17" s="4" t="s">
        <v>70</v>
      </c>
      <c r="B17" s="4" t="s">
        <v>71</v>
      </c>
      <c r="C17" s="4" t="s">
        <v>253</v>
      </c>
      <c r="D17" s="4" t="s">
        <v>32</v>
      </c>
      <c r="E17" s="6">
        <v>2</v>
      </c>
      <c r="F17" s="6">
        <v>2</v>
      </c>
      <c r="G17" s="6">
        <f t="shared" si="0"/>
        <v>0</v>
      </c>
      <c r="H17" s="4" t="s">
        <v>220</v>
      </c>
      <c r="I17" s="5">
        <v>46269</v>
      </c>
      <c r="J17" s="5">
        <v>46270</v>
      </c>
      <c r="K17" s="4" t="s">
        <v>247</v>
      </c>
    </row>
    <row r="18" spans="1:11" ht="27.6">
      <c r="A18" s="4" t="s">
        <v>72</v>
      </c>
      <c r="B18" s="4" t="s">
        <v>73</v>
      </c>
      <c r="C18" s="4" t="s">
        <v>253</v>
      </c>
      <c r="D18" s="4" t="s">
        <v>32</v>
      </c>
      <c r="E18" s="6">
        <v>1.5</v>
      </c>
      <c r="F18" s="6">
        <v>1.5</v>
      </c>
      <c r="G18" s="6">
        <f t="shared" si="0"/>
        <v>0</v>
      </c>
      <c r="H18" s="4" t="s">
        <v>220</v>
      </c>
      <c r="I18" s="5">
        <v>46269</v>
      </c>
      <c r="J18" s="5">
        <v>46270</v>
      </c>
      <c r="K18" s="4" t="s">
        <v>247</v>
      </c>
    </row>
    <row r="19" spans="1:11">
      <c r="A19" s="4" t="s">
        <v>74</v>
      </c>
      <c r="B19" s="4" t="s">
        <v>75</v>
      </c>
      <c r="C19" s="4" t="s">
        <v>254</v>
      </c>
      <c r="D19" s="4" t="s">
        <v>32</v>
      </c>
      <c r="E19" s="6">
        <v>2</v>
      </c>
      <c r="F19" s="6">
        <v>2</v>
      </c>
      <c r="G19" s="6">
        <f t="shared" si="0"/>
        <v>0</v>
      </c>
      <c r="H19" s="4" t="s">
        <v>220</v>
      </c>
      <c r="I19" s="5">
        <v>46272</v>
      </c>
      <c r="J19" s="5">
        <v>46274</v>
      </c>
      <c r="K19" s="4" t="s">
        <v>247</v>
      </c>
    </row>
    <row r="20" spans="1:11" ht="27.6">
      <c r="A20" s="4" t="s">
        <v>76</v>
      </c>
      <c r="B20" s="4" t="s">
        <v>77</v>
      </c>
      <c r="C20" s="4" t="s">
        <v>250</v>
      </c>
      <c r="D20" s="4" t="s">
        <v>32</v>
      </c>
      <c r="E20" s="6">
        <v>2</v>
      </c>
      <c r="F20" s="6">
        <v>2</v>
      </c>
      <c r="G20" s="6">
        <f t="shared" si="0"/>
        <v>0</v>
      </c>
      <c r="H20" s="4" t="s">
        <v>220</v>
      </c>
      <c r="I20" s="5">
        <v>46271</v>
      </c>
      <c r="J20" s="5">
        <v>46273</v>
      </c>
      <c r="K20" s="4" t="s">
        <v>247</v>
      </c>
    </row>
    <row r="21" spans="1:11" ht="27.6">
      <c r="A21" s="4" t="s">
        <v>78</v>
      </c>
      <c r="B21" s="4" t="s">
        <v>79</v>
      </c>
      <c r="C21" s="4" t="s">
        <v>254</v>
      </c>
      <c r="D21" s="4" t="s">
        <v>55</v>
      </c>
      <c r="E21" s="6">
        <v>1.5</v>
      </c>
      <c r="F21" s="6">
        <v>1.5</v>
      </c>
      <c r="G21" s="6">
        <f t="shared" si="0"/>
        <v>0</v>
      </c>
      <c r="H21" s="4" t="s">
        <v>220</v>
      </c>
      <c r="I21" s="5">
        <v>46272</v>
      </c>
      <c r="J21" s="5">
        <v>46274</v>
      </c>
      <c r="K21" s="4" t="s">
        <v>247</v>
      </c>
    </row>
    <row r="22" spans="1:11" ht="27.6">
      <c r="A22" s="4" t="s">
        <v>80</v>
      </c>
      <c r="B22" s="4" t="s">
        <v>81</v>
      </c>
      <c r="C22" s="4" t="s">
        <v>254</v>
      </c>
      <c r="D22" s="4" t="s">
        <v>55</v>
      </c>
      <c r="E22" s="6">
        <v>2</v>
      </c>
      <c r="F22" s="6">
        <v>2</v>
      </c>
      <c r="G22" s="6">
        <f t="shared" si="0"/>
        <v>0</v>
      </c>
      <c r="H22" s="4" t="s">
        <v>220</v>
      </c>
      <c r="I22" s="5">
        <v>46272</v>
      </c>
      <c r="J22" s="5">
        <v>46274</v>
      </c>
      <c r="K22" s="4" t="s">
        <v>247</v>
      </c>
    </row>
    <row r="23" spans="1:11">
      <c r="A23" s="4" t="s">
        <v>82</v>
      </c>
      <c r="B23" s="4" t="s">
        <v>83</v>
      </c>
      <c r="C23" s="4" t="s">
        <v>254</v>
      </c>
      <c r="D23" s="4" t="s">
        <v>32</v>
      </c>
      <c r="E23" s="6">
        <v>1.5</v>
      </c>
      <c r="F23" s="6">
        <v>1.5</v>
      </c>
      <c r="G23" s="6">
        <f t="shared" si="0"/>
        <v>0</v>
      </c>
      <c r="H23" s="4" t="s">
        <v>220</v>
      </c>
      <c r="I23" s="5">
        <v>46272</v>
      </c>
      <c r="J23" s="5">
        <v>46274</v>
      </c>
      <c r="K23" s="4" t="s">
        <v>247</v>
      </c>
    </row>
  </sheetData>
  <mergeCells count="6">
    <mergeCell ref="A7:K7"/>
    <mergeCell ref="A1:K1"/>
    <mergeCell ref="B2:E2"/>
    <mergeCell ref="B3:E3"/>
    <mergeCell ref="B4:E4"/>
    <mergeCell ref="B5:E5"/>
  </mergeCells>
  <conditionalFormatting sqref="F19 F21:F23">
    <cfRule type="expression" dxfId="23" priority="5">
      <formula>AND($H19="Finalizado",$F19="")</formula>
    </cfRule>
  </conditionalFormatting>
  <conditionalFormatting sqref="H10:H23">
    <cfRule type="expression" dxfId="22" priority="1">
      <formula>$H10="Finalizado"</formula>
    </cfRule>
    <cfRule type="expression" dxfId="21" priority="2">
      <formula>$H10="En progreso"</formula>
    </cfRule>
    <cfRule type="expression" dxfId="20" priority="3">
      <formula>$H10="Validación"</formula>
    </cfRule>
    <cfRule type="expression" dxfId="19" priority="4">
      <formula>$H10="Bloqueado"</formula>
    </cfRule>
  </conditionalFormatting>
  <dataValidations count="2">
    <dataValidation type="list" sqref="D10:D23" xr:uid="{00000000-0002-0000-0200-000000000000}">
      <formula1>"Alta,Media,Baja"</formula1>
    </dataValidation>
    <dataValidation type="list" sqref="H10:H23" xr:uid="{00000000-0002-0000-02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="80" zoomScaleNormal="80" workbookViewId="0">
      <selection activeCell="J21" sqref="J21"/>
    </sheetView>
  </sheetViews>
  <sheetFormatPr defaultColWidth="9" defaultRowHeight="13.8"/>
  <cols>
    <col min="1" max="1" width="25.19921875" bestFit="1" customWidth="1"/>
    <col min="2" max="2" width="48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227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228</v>
      </c>
      <c r="C2" s="10"/>
      <c r="D2" s="10"/>
      <c r="E2" s="10"/>
      <c r="G2" s="1" t="s">
        <v>3</v>
      </c>
      <c r="H2" s="2">
        <f>COUNTA(A10:A19)</f>
        <v>10</v>
      </c>
    </row>
    <row r="3" spans="1:11" ht="16.8">
      <c r="A3" s="7" t="s">
        <v>203</v>
      </c>
      <c r="B3" s="10" t="s">
        <v>229</v>
      </c>
      <c r="C3" s="10"/>
      <c r="D3" s="10"/>
      <c r="E3" s="10"/>
      <c r="G3" s="1" t="s">
        <v>5</v>
      </c>
      <c r="H3" s="2">
        <f>COUNTIF(H10:H19,"Finalizado")</f>
        <v>10</v>
      </c>
    </row>
    <row r="4" spans="1:11" ht="16.8">
      <c r="A4" s="7" t="s">
        <v>205</v>
      </c>
      <c r="B4" s="10" t="s">
        <v>230</v>
      </c>
      <c r="C4" s="10"/>
      <c r="D4" s="10"/>
      <c r="E4" s="10"/>
      <c r="G4" s="1" t="s">
        <v>207</v>
      </c>
      <c r="H4" s="2">
        <f>SUM(E10:E19)</f>
        <v>17.5</v>
      </c>
    </row>
    <row r="5" spans="1:11" ht="16.8">
      <c r="A5" s="7" t="s">
        <v>248</v>
      </c>
      <c r="B5" s="10" t="s">
        <v>231</v>
      </c>
      <c r="C5" s="10"/>
      <c r="D5" s="10"/>
      <c r="E5" s="10"/>
      <c r="G5" s="1" t="s">
        <v>209</v>
      </c>
      <c r="H5" s="2">
        <f>SUM(F10:F19)</f>
        <v>17.5</v>
      </c>
    </row>
    <row r="6" spans="1:11" ht="16.8">
      <c r="G6" s="1" t="s">
        <v>210</v>
      </c>
      <c r="H6" s="2">
        <f>SUM(G10:G19)</f>
        <v>0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>
      <c r="A10" s="4" t="s">
        <v>84</v>
      </c>
      <c r="B10" s="4" t="s">
        <v>85</v>
      </c>
      <c r="C10" s="4" t="s">
        <v>253</v>
      </c>
      <c r="D10" s="4" t="s">
        <v>32</v>
      </c>
      <c r="E10" s="6">
        <v>2</v>
      </c>
      <c r="F10" s="6">
        <v>2</v>
      </c>
      <c r="G10" s="6">
        <f t="shared" ref="G10:G19" si="0">IF(H10="Finalizado",0,MAX(E10-IF(F10="",0,F10),0))</f>
        <v>0</v>
      </c>
      <c r="H10" s="4" t="s">
        <v>220</v>
      </c>
      <c r="I10" s="5">
        <v>46277</v>
      </c>
      <c r="J10" s="5">
        <v>46280</v>
      </c>
      <c r="K10" s="4" t="s">
        <v>255</v>
      </c>
    </row>
    <row r="11" spans="1:11" ht="27.6">
      <c r="A11" s="4" t="s">
        <v>86</v>
      </c>
      <c r="B11" s="4" t="s">
        <v>87</v>
      </c>
      <c r="C11" s="4" t="s">
        <v>253</v>
      </c>
      <c r="D11" s="4" t="s">
        <v>32</v>
      </c>
      <c r="E11" s="6">
        <v>1.5</v>
      </c>
      <c r="F11" s="6">
        <v>1.5</v>
      </c>
      <c r="G11" s="6">
        <f t="shared" si="0"/>
        <v>0</v>
      </c>
      <c r="H11" s="4" t="s">
        <v>220</v>
      </c>
      <c r="I11" s="5">
        <v>46277</v>
      </c>
      <c r="J11" s="5">
        <v>46280</v>
      </c>
      <c r="K11" s="4" t="s">
        <v>255</v>
      </c>
    </row>
    <row r="12" spans="1:11">
      <c r="A12" s="4" t="s">
        <v>88</v>
      </c>
      <c r="B12" s="4" t="s">
        <v>89</v>
      </c>
      <c r="C12" s="4" t="s">
        <v>253</v>
      </c>
      <c r="D12" s="4" t="s">
        <v>32</v>
      </c>
      <c r="E12" s="6">
        <v>3</v>
      </c>
      <c r="F12" s="6">
        <v>3</v>
      </c>
      <c r="G12" s="6">
        <f t="shared" si="0"/>
        <v>0</v>
      </c>
      <c r="H12" s="4" t="s">
        <v>220</v>
      </c>
      <c r="I12" s="5">
        <v>46277</v>
      </c>
      <c r="J12" s="5">
        <v>46280</v>
      </c>
      <c r="K12" s="4" t="s">
        <v>255</v>
      </c>
    </row>
    <row r="13" spans="1:11">
      <c r="A13" s="4" t="s">
        <v>90</v>
      </c>
      <c r="B13" s="4" t="s">
        <v>91</v>
      </c>
      <c r="C13" s="4" t="s">
        <v>250</v>
      </c>
      <c r="D13" s="4" t="s">
        <v>32</v>
      </c>
      <c r="E13" s="6">
        <v>2</v>
      </c>
      <c r="F13" s="6">
        <v>2</v>
      </c>
      <c r="G13" s="6">
        <f t="shared" si="0"/>
        <v>0</v>
      </c>
      <c r="H13" s="4" t="s">
        <v>220</v>
      </c>
      <c r="I13" s="5">
        <v>46280</v>
      </c>
      <c r="J13" s="5">
        <v>46282</v>
      </c>
      <c r="K13" s="4" t="s">
        <v>255</v>
      </c>
    </row>
    <row r="14" spans="1:11">
      <c r="A14" s="4" t="s">
        <v>92</v>
      </c>
      <c r="B14" s="4" t="s">
        <v>93</v>
      </c>
      <c r="C14" s="4" t="s">
        <v>250</v>
      </c>
      <c r="D14" s="4" t="s">
        <v>32</v>
      </c>
      <c r="E14" s="6">
        <v>2</v>
      </c>
      <c r="F14" s="6">
        <v>2</v>
      </c>
      <c r="G14" s="6">
        <f t="shared" si="0"/>
        <v>0</v>
      </c>
      <c r="H14" s="4" t="s">
        <v>220</v>
      </c>
      <c r="I14" s="5">
        <v>46280</v>
      </c>
      <c r="J14" s="5">
        <v>46282</v>
      </c>
      <c r="K14" s="4" t="s">
        <v>255</v>
      </c>
    </row>
    <row r="15" spans="1:11">
      <c r="A15" s="4" t="s">
        <v>94</v>
      </c>
      <c r="B15" s="4" t="s">
        <v>95</v>
      </c>
      <c r="C15" s="4" t="s">
        <v>254</v>
      </c>
      <c r="D15" s="4" t="s">
        <v>32</v>
      </c>
      <c r="E15" s="6">
        <v>1.5</v>
      </c>
      <c r="F15" s="6">
        <v>1.5</v>
      </c>
      <c r="G15" s="6">
        <f t="shared" si="0"/>
        <v>0</v>
      </c>
      <c r="H15" s="4" t="s">
        <v>220</v>
      </c>
      <c r="I15" s="5">
        <v>46281</v>
      </c>
      <c r="J15" s="5">
        <v>46285</v>
      </c>
      <c r="K15" s="4" t="s">
        <v>255</v>
      </c>
    </row>
    <row r="16" spans="1:11">
      <c r="A16" s="4" t="s">
        <v>96</v>
      </c>
      <c r="B16" s="4" t="s">
        <v>97</v>
      </c>
      <c r="C16" s="4" t="s">
        <v>254</v>
      </c>
      <c r="D16" s="4" t="s">
        <v>32</v>
      </c>
      <c r="E16" s="6">
        <v>1.5</v>
      </c>
      <c r="F16" s="6">
        <v>1.5</v>
      </c>
      <c r="G16" s="6">
        <f t="shared" si="0"/>
        <v>0</v>
      </c>
      <c r="H16" s="4" t="s">
        <v>220</v>
      </c>
      <c r="I16" s="5">
        <v>46281</v>
      </c>
      <c r="J16" s="5">
        <v>46285</v>
      </c>
      <c r="K16" s="4" t="s">
        <v>255</v>
      </c>
    </row>
    <row r="17" spans="1:11">
      <c r="A17" s="4" t="s">
        <v>98</v>
      </c>
      <c r="B17" s="4" t="s">
        <v>99</v>
      </c>
      <c r="C17" s="4" t="s">
        <v>250</v>
      </c>
      <c r="D17" s="4" t="s">
        <v>32</v>
      </c>
      <c r="E17" s="6">
        <v>1</v>
      </c>
      <c r="F17" s="6">
        <v>1</v>
      </c>
      <c r="G17" s="6">
        <f t="shared" si="0"/>
        <v>0</v>
      </c>
      <c r="H17" s="4" t="s">
        <v>220</v>
      </c>
      <c r="I17" s="5">
        <v>46281</v>
      </c>
      <c r="J17" s="5">
        <v>46282</v>
      </c>
      <c r="K17" s="4" t="s">
        <v>255</v>
      </c>
    </row>
    <row r="18" spans="1:11">
      <c r="A18" s="4" t="s">
        <v>100</v>
      </c>
      <c r="B18" s="4" t="s">
        <v>101</v>
      </c>
      <c r="C18" s="4" t="s">
        <v>253</v>
      </c>
      <c r="D18" s="4" t="s">
        <v>55</v>
      </c>
      <c r="E18" s="6">
        <v>1.5</v>
      </c>
      <c r="F18" s="6">
        <v>1.5</v>
      </c>
      <c r="G18" s="6">
        <f>IF(H18="Finalizado",0,MAX(E18-IF(F18="",0,F18),0))</f>
        <v>0</v>
      </c>
      <c r="H18" s="4" t="s">
        <v>220</v>
      </c>
      <c r="I18" s="5">
        <v>46277</v>
      </c>
      <c r="J18" s="5">
        <v>46285</v>
      </c>
      <c r="K18" s="4" t="s">
        <v>255</v>
      </c>
    </row>
    <row r="19" spans="1:11" ht="27.6">
      <c r="A19" s="4" t="s">
        <v>102</v>
      </c>
      <c r="B19" s="4" t="s">
        <v>103</v>
      </c>
      <c r="C19" s="4" t="s">
        <v>254</v>
      </c>
      <c r="D19" s="4" t="s">
        <v>55</v>
      </c>
      <c r="E19" s="6">
        <v>1.5</v>
      </c>
      <c r="F19" s="6">
        <v>1.5</v>
      </c>
      <c r="G19" s="6">
        <f t="shared" si="0"/>
        <v>0</v>
      </c>
      <c r="H19" s="4" t="s">
        <v>220</v>
      </c>
      <c r="I19" s="5">
        <v>46281</v>
      </c>
      <c r="J19" s="5">
        <v>46285</v>
      </c>
      <c r="K19" s="4" t="s">
        <v>255</v>
      </c>
    </row>
  </sheetData>
  <mergeCells count="6">
    <mergeCell ref="A7:K7"/>
    <mergeCell ref="A1:K1"/>
    <mergeCell ref="B2:E2"/>
    <mergeCell ref="B3:E3"/>
    <mergeCell ref="B4:E4"/>
    <mergeCell ref="B5:E5"/>
  </mergeCells>
  <conditionalFormatting sqref="H10:H19">
    <cfRule type="expression" dxfId="18" priority="1">
      <formula>$H10="Finalizado"</formula>
    </cfRule>
    <cfRule type="expression" dxfId="17" priority="2">
      <formula>$H10="En progreso"</formula>
    </cfRule>
    <cfRule type="expression" dxfId="16" priority="3">
      <formula>$H10="Validación"</formula>
    </cfRule>
    <cfRule type="expression" dxfId="15" priority="4">
      <formula>$H10="Bloqueado"</formula>
    </cfRule>
  </conditionalFormatting>
  <dataValidations count="2">
    <dataValidation type="list" sqref="D10:D19" xr:uid="{00000000-0002-0000-0300-000000000000}">
      <formula1>"Alta,Media,Baja"</formula1>
    </dataValidation>
    <dataValidation type="list" sqref="H10:H19" xr:uid="{00000000-0002-0000-03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zoomScale="80" zoomScaleNormal="80" workbookViewId="0">
      <selection activeCell="J25" sqref="J25"/>
    </sheetView>
  </sheetViews>
  <sheetFormatPr defaultColWidth="9" defaultRowHeight="13.8"/>
  <cols>
    <col min="1" max="1" width="23" bestFit="1" customWidth="1"/>
    <col min="2" max="2" width="48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232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233</v>
      </c>
      <c r="C2" s="10"/>
      <c r="D2" s="10"/>
      <c r="E2" s="10"/>
      <c r="G2" s="1" t="s">
        <v>3</v>
      </c>
      <c r="H2" s="2">
        <f>COUNTA(A10:A19)</f>
        <v>10</v>
      </c>
    </row>
    <row r="3" spans="1:11" ht="16.8">
      <c r="A3" s="7" t="s">
        <v>203</v>
      </c>
      <c r="B3" s="10" t="s">
        <v>234</v>
      </c>
      <c r="C3" s="10"/>
      <c r="D3" s="10"/>
      <c r="E3" s="10"/>
      <c r="G3" s="1" t="s">
        <v>5</v>
      </c>
      <c r="H3" s="2">
        <f>COUNTIF(H10:H19,"Finalizado")</f>
        <v>0</v>
      </c>
    </row>
    <row r="4" spans="1:11" ht="16.8">
      <c r="A4" s="7" t="s">
        <v>205</v>
      </c>
      <c r="B4" s="10" t="s">
        <v>235</v>
      </c>
      <c r="C4" s="10"/>
      <c r="D4" s="10"/>
      <c r="E4" s="10"/>
      <c r="G4" s="1" t="s">
        <v>207</v>
      </c>
      <c r="H4" s="2">
        <f>SUM(E10:E19)</f>
        <v>22.5</v>
      </c>
    </row>
    <row r="5" spans="1:11" ht="16.8">
      <c r="A5" s="7" t="s">
        <v>248</v>
      </c>
      <c r="B5" s="10" t="s">
        <v>226</v>
      </c>
      <c r="C5" s="10"/>
      <c r="D5" s="10"/>
      <c r="E5" s="10"/>
      <c r="G5" s="1" t="s">
        <v>209</v>
      </c>
      <c r="H5" s="2">
        <f>SUM(F10:F19)</f>
        <v>14.5</v>
      </c>
    </row>
    <row r="6" spans="1:11" ht="16.8">
      <c r="G6" s="1" t="s">
        <v>210</v>
      </c>
      <c r="H6" s="2">
        <f>SUM(G10:G19)</f>
        <v>8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>
      <c r="A10" s="4" t="s">
        <v>104</v>
      </c>
      <c r="B10" s="4" t="s">
        <v>105</v>
      </c>
      <c r="C10" s="4" t="s">
        <v>253</v>
      </c>
      <c r="D10" s="4" t="s">
        <v>32</v>
      </c>
      <c r="E10" s="6">
        <v>3</v>
      </c>
      <c r="F10" s="6"/>
      <c r="G10" s="6">
        <f t="shared" ref="G10:G19" si="0">IF(H10="Finalizado",0,MAX(E10-IF(F10="",0,F10),0))</f>
        <v>3</v>
      </c>
      <c r="H10" s="4" t="s">
        <v>221</v>
      </c>
      <c r="I10" s="5"/>
      <c r="J10" s="5"/>
      <c r="K10" s="4"/>
    </row>
    <row r="11" spans="1:11">
      <c r="A11" s="4" t="s">
        <v>106</v>
      </c>
      <c r="B11" s="4" t="s">
        <v>107</v>
      </c>
      <c r="C11" s="4" t="s">
        <v>253</v>
      </c>
      <c r="D11" s="4" t="s">
        <v>32</v>
      </c>
      <c r="E11" s="6">
        <v>4</v>
      </c>
      <c r="F11" s="6"/>
      <c r="G11" s="6">
        <f t="shared" si="0"/>
        <v>4</v>
      </c>
      <c r="H11" s="4" t="s">
        <v>221</v>
      </c>
      <c r="I11" s="5"/>
      <c r="J11" s="5"/>
      <c r="K11" s="4"/>
    </row>
    <row r="12" spans="1:11">
      <c r="A12" s="4" t="s">
        <v>108</v>
      </c>
      <c r="B12" s="4" t="s">
        <v>109</v>
      </c>
      <c r="C12" s="4" t="s">
        <v>250</v>
      </c>
      <c r="D12" s="4" t="s">
        <v>32</v>
      </c>
      <c r="E12" s="6">
        <v>2</v>
      </c>
      <c r="F12" s="6">
        <v>2</v>
      </c>
      <c r="G12" s="6">
        <f t="shared" si="0"/>
        <v>0</v>
      </c>
      <c r="H12" s="4" t="s">
        <v>256</v>
      </c>
      <c r="I12" s="5">
        <v>46302</v>
      </c>
      <c r="J12" s="5">
        <v>46304</v>
      </c>
      <c r="K12" s="4"/>
    </row>
    <row r="13" spans="1:11">
      <c r="A13" s="4" t="s">
        <v>110</v>
      </c>
      <c r="B13" s="4" t="s">
        <v>111</v>
      </c>
      <c r="C13" s="4" t="s">
        <v>250</v>
      </c>
      <c r="D13" s="4" t="s">
        <v>32</v>
      </c>
      <c r="E13" s="6">
        <v>2</v>
      </c>
      <c r="F13" s="6">
        <v>2</v>
      </c>
      <c r="G13" s="6">
        <f t="shared" si="0"/>
        <v>0</v>
      </c>
      <c r="H13" s="4" t="s">
        <v>256</v>
      </c>
      <c r="I13" s="5">
        <v>46302</v>
      </c>
      <c r="J13" s="5">
        <v>46304</v>
      </c>
      <c r="K13" s="4"/>
    </row>
    <row r="14" spans="1:11">
      <c r="A14" s="4" t="s">
        <v>112</v>
      </c>
      <c r="B14" s="4" t="s">
        <v>113</v>
      </c>
      <c r="C14" s="4" t="s">
        <v>250</v>
      </c>
      <c r="D14" s="4" t="s">
        <v>32</v>
      </c>
      <c r="E14" s="6">
        <v>2</v>
      </c>
      <c r="F14" s="6">
        <v>2</v>
      </c>
      <c r="G14" s="6">
        <f t="shared" si="0"/>
        <v>0</v>
      </c>
      <c r="H14" s="4" t="s">
        <v>256</v>
      </c>
      <c r="I14" s="5">
        <v>46302</v>
      </c>
      <c r="J14" s="5">
        <v>46304</v>
      </c>
      <c r="K14" s="4"/>
    </row>
    <row r="15" spans="1:11">
      <c r="A15" s="4" t="s">
        <v>114</v>
      </c>
      <c r="B15" s="4" t="s">
        <v>115</v>
      </c>
      <c r="C15" s="4" t="s">
        <v>250</v>
      </c>
      <c r="D15" s="4" t="s">
        <v>32</v>
      </c>
      <c r="E15" s="6">
        <v>2</v>
      </c>
      <c r="F15" s="6">
        <v>2</v>
      </c>
      <c r="G15" s="6">
        <f t="shared" si="0"/>
        <v>0</v>
      </c>
      <c r="H15" s="4" t="s">
        <v>256</v>
      </c>
      <c r="I15" s="5">
        <v>46302</v>
      </c>
      <c r="J15" s="5">
        <v>46304</v>
      </c>
      <c r="K15" s="4"/>
    </row>
    <row r="16" spans="1:11">
      <c r="A16" s="4" t="s">
        <v>116</v>
      </c>
      <c r="B16" s="4" t="s">
        <v>117</v>
      </c>
      <c r="C16" s="4" t="s">
        <v>250</v>
      </c>
      <c r="D16" s="4" t="s">
        <v>32</v>
      </c>
      <c r="E16" s="6">
        <v>2</v>
      </c>
      <c r="F16" s="6">
        <v>2</v>
      </c>
      <c r="G16" s="6">
        <f t="shared" si="0"/>
        <v>0</v>
      </c>
      <c r="H16" s="4" t="s">
        <v>256</v>
      </c>
      <c r="I16" s="5">
        <v>46302</v>
      </c>
      <c r="J16" s="5">
        <v>46304</v>
      </c>
      <c r="K16" s="4"/>
    </row>
    <row r="17" spans="1:11" ht="27.6">
      <c r="A17" s="4" t="s">
        <v>118</v>
      </c>
      <c r="B17" s="4" t="s">
        <v>119</v>
      </c>
      <c r="C17" s="4" t="s">
        <v>254</v>
      </c>
      <c r="D17" s="4" t="s">
        <v>32</v>
      </c>
      <c r="E17" s="6">
        <v>1.5</v>
      </c>
      <c r="F17" s="6">
        <v>1</v>
      </c>
      <c r="G17" s="6">
        <f t="shared" si="0"/>
        <v>0.5</v>
      </c>
      <c r="H17" s="4" t="s">
        <v>221</v>
      </c>
      <c r="I17" s="5">
        <v>46304</v>
      </c>
      <c r="J17" s="5">
        <v>46305</v>
      </c>
      <c r="K17" s="4"/>
    </row>
    <row r="18" spans="1:11" ht="27.6">
      <c r="A18" s="4" t="s">
        <v>120</v>
      </c>
      <c r="B18" s="4" t="s">
        <v>121</v>
      </c>
      <c r="C18" s="4" t="s">
        <v>254</v>
      </c>
      <c r="D18" s="4" t="s">
        <v>55</v>
      </c>
      <c r="E18" s="6">
        <v>2</v>
      </c>
      <c r="F18" s="6">
        <v>1.5</v>
      </c>
      <c r="G18" s="6">
        <f t="shared" si="0"/>
        <v>0.5</v>
      </c>
      <c r="H18" s="4" t="s">
        <v>221</v>
      </c>
      <c r="I18" s="5">
        <v>46304</v>
      </c>
      <c r="J18" s="5">
        <v>46305</v>
      </c>
      <c r="K18" s="4"/>
    </row>
    <row r="19" spans="1:11" ht="27.6">
      <c r="A19" s="4" t="s">
        <v>122</v>
      </c>
      <c r="B19" s="4" t="s">
        <v>123</v>
      </c>
      <c r="C19" s="4" t="s">
        <v>254</v>
      </c>
      <c r="D19" s="4" t="s">
        <v>32</v>
      </c>
      <c r="E19" s="6">
        <v>2</v>
      </c>
      <c r="F19" s="6">
        <v>2</v>
      </c>
      <c r="G19" s="6">
        <f t="shared" si="0"/>
        <v>0</v>
      </c>
      <c r="H19" s="4" t="s">
        <v>221</v>
      </c>
      <c r="I19" s="5">
        <v>46304</v>
      </c>
      <c r="J19" s="5">
        <v>46305</v>
      </c>
      <c r="K19" s="4"/>
    </row>
  </sheetData>
  <mergeCells count="6">
    <mergeCell ref="A7:K7"/>
    <mergeCell ref="A1:K1"/>
    <mergeCell ref="B2:E2"/>
    <mergeCell ref="B3:E3"/>
    <mergeCell ref="B4:E4"/>
    <mergeCell ref="B5:E5"/>
  </mergeCells>
  <conditionalFormatting sqref="F10:F11 F17:F19">
    <cfRule type="expression" dxfId="14" priority="5">
      <formula>AND($H10="Finalizado",$F10="")</formula>
    </cfRule>
  </conditionalFormatting>
  <conditionalFormatting sqref="H10:H19">
    <cfRule type="expression" dxfId="13" priority="1">
      <formula>$H10="Finalizado"</formula>
    </cfRule>
    <cfRule type="expression" dxfId="12" priority="2">
      <formula>$H10="En progreso"</formula>
    </cfRule>
    <cfRule type="expression" dxfId="11" priority="3">
      <formula>$H10="Validación"</formula>
    </cfRule>
    <cfRule type="expression" dxfId="10" priority="4">
      <formula>$H10="Bloqueado"</formula>
    </cfRule>
  </conditionalFormatting>
  <dataValidations count="2">
    <dataValidation type="list" sqref="D10:D19" xr:uid="{00000000-0002-0000-0400-000000000000}">
      <formula1>"Alta,Media,Baja"</formula1>
    </dataValidation>
    <dataValidation type="list" sqref="H10:H19" xr:uid="{00000000-0002-0000-04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tabSelected="1" zoomScale="73" zoomScaleNormal="73" workbookViewId="0">
      <selection activeCell="C18" sqref="C18"/>
    </sheetView>
  </sheetViews>
  <sheetFormatPr defaultColWidth="9" defaultRowHeight="13.8"/>
  <cols>
    <col min="1" max="1" width="23.59765625" bestFit="1" customWidth="1"/>
    <col min="2" max="2" width="48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237</v>
      </c>
      <c r="C2" s="10"/>
      <c r="D2" s="10"/>
      <c r="E2" s="10"/>
      <c r="G2" s="1" t="s">
        <v>3</v>
      </c>
      <c r="H2" s="2">
        <f>COUNTA(A10:A27)</f>
        <v>18</v>
      </c>
    </row>
    <row r="3" spans="1:11" ht="16.8">
      <c r="A3" s="7" t="s">
        <v>203</v>
      </c>
      <c r="B3" s="10" t="s">
        <v>238</v>
      </c>
      <c r="C3" s="10"/>
      <c r="D3" s="10"/>
      <c r="E3" s="10"/>
      <c r="G3" s="1" t="s">
        <v>5</v>
      </c>
      <c r="H3" s="2">
        <f>COUNTIF(H10:H27,"Finalizado")</f>
        <v>0</v>
      </c>
    </row>
    <row r="4" spans="1:11" ht="16.8">
      <c r="A4" s="7" t="s">
        <v>205</v>
      </c>
      <c r="B4" s="10" t="s">
        <v>239</v>
      </c>
      <c r="C4" s="10"/>
      <c r="D4" s="10"/>
      <c r="E4" s="10"/>
      <c r="G4" s="1" t="s">
        <v>207</v>
      </c>
      <c r="H4" s="2">
        <f>SUM(E10:E27)</f>
        <v>24.5</v>
      </c>
    </row>
    <row r="5" spans="1:11" ht="16.8">
      <c r="A5" s="7" t="s">
        <v>248</v>
      </c>
      <c r="B5" s="10" t="s">
        <v>240</v>
      </c>
      <c r="C5" s="10"/>
      <c r="D5" s="10"/>
      <c r="E5" s="10"/>
      <c r="G5" s="1" t="s">
        <v>209</v>
      </c>
      <c r="H5" s="2">
        <f>SUM(F10:F27)</f>
        <v>0</v>
      </c>
    </row>
    <row r="6" spans="1:11" ht="16.8">
      <c r="G6" s="1" t="s">
        <v>210</v>
      </c>
      <c r="H6" s="2">
        <f>SUM(G10:G27)</f>
        <v>24.5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 ht="27.6">
      <c r="A10" s="4" t="s">
        <v>124</v>
      </c>
      <c r="B10" s="4" t="s">
        <v>125</v>
      </c>
      <c r="C10" s="4" t="s">
        <v>253</v>
      </c>
      <c r="D10" s="4" t="s">
        <v>32</v>
      </c>
      <c r="E10" s="6">
        <v>1</v>
      </c>
      <c r="F10" s="6"/>
      <c r="G10" s="6">
        <f t="shared" ref="G10:G27" si="0">IF(H10="Finalizado",0,MAX(E10-IF(F10="",0,F10),0))</f>
        <v>1</v>
      </c>
      <c r="H10" s="4" t="s">
        <v>221</v>
      </c>
      <c r="I10" s="5"/>
      <c r="J10" s="5"/>
      <c r="K10" s="4"/>
    </row>
    <row r="11" spans="1:11">
      <c r="A11" s="4" t="s">
        <v>126</v>
      </c>
      <c r="B11" s="4" t="s">
        <v>127</v>
      </c>
      <c r="C11" s="4" t="s">
        <v>253</v>
      </c>
      <c r="D11" s="4" t="s">
        <v>32</v>
      </c>
      <c r="E11" s="6">
        <v>1</v>
      </c>
      <c r="F11" s="6"/>
      <c r="G11" s="6">
        <f t="shared" si="0"/>
        <v>1</v>
      </c>
      <c r="H11" s="4" t="s">
        <v>221</v>
      </c>
      <c r="I11" s="5"/>
      <c r="J11" s="5"/>
      <c r="K11" s="4"/>
    </row>
    <row r="12" spans="1:11" ht="27.6">
      <c r="A12" s="4" t="s">
        <v>128</v>
      </c>
      <c r="B12" s="4" t="s">
        <v>129</v>
      </c>
      <c r="C12" s="4" t="s">
        <v>253</v>
      </c>
      <c r="D12" s="4" t="s">
        <v>32</v>
      </c>
      <c r="E12" s="6">
        <v>1</v>
      </c>
      <c r="F12" s="6"/>
      <c r="G12" s="6">
        <f t="shared" si="0"/>
        <v>1</v>
      </c>
      <c r="H12" s="4" t="s">
        <v>221</v>
      </c>
      <c r="I12" s="5"/>
      <c r="J12" s="5"/>
      <c r="K12" s="4"/>
    </row>
    <row r="13" spans="1:11">
      <c r="A13" s="4" t="s">
        <v>130</v>
      </c>
      <c r="B13" s="4" t="s">
        <v>131</v>
      </c>
      <c r="C13" s="4" t="s">
        <v>253</v>
      </c>
      <c r="D13" s="4" t="s">
        <v>32</v>
      </c>
      <c r="E13" s="6">
        <v>2</v>
      </c>
      <c r="F13" s="6"/>
      <c r="G13" s="6">
        <f t="shared" si="0"/>
        <v>2</v>
      </c>
      <c r="H13" s="4" t="s">
        <v>221</v>
      </c>
      <c r="I13" s="5"/>
      <c r="J13" s="5"/>
      <c r="K13" s="4"/>
    </row>
    <row r="14" spans="1:11" ht="27.6">
      <c r="A14" s="4" t="s">
        <v>132</v>
      </c>
      <c r="B14" s="4" t="s">
        <v>133</v>
      </c>
      <c r="C14" s="4" t="s">
        <v>253</v>
      </c>
      <c r="D14" s="4" t="s">
        <v>32</v>
      </c>
      <c r="E14" s="6">
        <v>1</v>
      </c>
      <c r="F14" s="6"/>
      <c r="G14" s="6">
        <f t="shared" si="0"/>
        <v>1</v>
      </c>
      <c r="H14" s="4" t="s">
        <v>221</v>
      </c>
      <c r="I14" s="5"/>
      <c r="J14" s="5"/>
      <c r="K14" s="4"/>
    </row>
    <row r="15" spans="1:11">
      <c r="A15" s="4" t="s">
        <v>134</v>
      </c>
      <c r="B15" s="4" t="s">
        <v>135</v>
      </c>
      <c r="C15" s="4" t="s">
        <v>253</v>
      </c>
      <c r="D15" s="4" t="s">
        <v>32</v>
      </c>
      <c r="E15" s="6">
        <v>1.5</v>
      </c>
      <c r="F15" s="6"/>
      <c r="G15" s="6">
        <f t="shared" si="0"/>
        <v>1.5</v>
      </c>
      <c r="H15" s="4" t="s">
        <v>221</v>
      </c>
      <c r="I15" s="5"/>
      <c r="J15" s="5"/>
      <c r="K15" s="4"/>
    </row>
    <row r="16" spans="1:11">
      <c r="A16" s="4" t="s">
        <v>136</v>
      </c>
      <c r="B16" s="4" t="s">
        <v>137</v>
      </c>
      <c r="C16" s="4" t="s">
        <v>253</v>
      </c>
      <c r="D16" s="4" t="s">
        <v>32</v>
      </c>
      <c r="E16" s="6">
        <v>1.5</v>
      </c>
      <c r="F16" s="6"/>
      <c r="G16" s="6">
        <f t="shared" si="0"/>
        <v>1.5</v>
      </c>
      <c r="H16" s="4" t="s">
        <v>221</v>
      </c>
      <c r="I16" s="5"/>
      <c r="J16" s="5"/>
      <c r="K16" s="4"/>
    </row>
    <row r="17" spans="1:11">
      <c r="A17" s="4" t="s">
        <v>138</v>
      </c>
      <c r="B17" s="4" t="s">
        <v>139</v>
      </c>
      <c r="C17" s="4" t="s">
        <v>254</v>
      </c>
      <c r="D17" s="4" t="s">
        <v>32</v>
      </c>
      <c r="E17" s="6">
        <v>1.5</v>
      </c>
      <c r="F17" s="6"/>
      <c r="G17" s="6">
        <f t="shared" si="0"/>
        <v>1.5</v>
      </c>
      <c r="H17" s="4" t="s">
        <v>221</v>
      </c>
      <c r="I17" s="5"/>
      <c r="J17" s="5"/>
      <c r="K17" s="4"/>
    </row>
    <row r="18" spans="1:11">
      <c r="A18" s="4" t="s">
        <v>140</v>
      </c>
      <c r="B18" s="4" t="s">
        <v>141</v>
      </c>
      <c r="C18" s="4" t="s">
        <v>254</v>
      </c>
      <c r="D18" s="4" t="s">
        <v>32</v>
      </c>
      <c r="E18" s="6">
        <v>1.5</v>
      </c>
      <c r="F18" s="6"/>
      <c r="G18" s="6">
        <f t="shared" si="0"/>
        <v>1.5</v>
      </c>
      <c r="H18" s="4" t="s">
        <v>221</v>
      </c>
      <c r="I18" s="5"/>
      <c r="J18" s="5"/>
      <c r="K18" s="4"/>
    </row>
    <row r="19" spans="1:11">
      <c r="A19" s="4" t="s">
        <v>142</v>
      </c>
      <c r="B19" s="4" t="s">
        <v>143</v>
      </c>
      <c r="C19" s="4" t="s">
        <v>254</v>
      </c>
      <c r="D19" s="4" t="s">
        <v>32</v>
      </c>
      <c r="E19" s="6">
        <v>1</v>
      </c>
      <c r="F19" s="6"/>
      <c r="G19" s="6">
        <f t="shared" si="0"/>
        <v>1</v>
      </c>
      <c r="H19" s="4" t="s">
        <v>221</v>
      </c>
      <c r="I19" s="5"/>
      <c r="J19" s="5"/>
      <c r="K19" s="4"/>
    </row>
    <row r="20" spans="1:11">
      <c r="A20" s="4" t="s">
        <v>144</v>
      </c>
      <c r="B20" s="4" t="s">
        <v>145</v>
      </c>
      <c r="C20" s="4" t="s">
        <v>254</v>
      </c>
      <c r="D20" s="4" t="s">
        <v>32</v>
      </c>
      <c r="E20" s="6">
        <v>1</v>
      </c>
      <c r="F20" s="6"/>
      <c r="G20" s="6">
        <f t="shared" si="0"/>
        <v>1</v>
      </c>
      <c r="H20" s="4" t="s">
        <v>221</v>
      </c>
      <c r="I20" s="5"/>
      <c r="J20" s="5"/>
      <c r="K20" s="4"/>
    </row>
    <row r="21" spans="1:11">
      <c r="A21" s="4" t="s">
        <v>146</v>
      </c>
      <c r="B21" s="4" t="s">
        <v>147</v>
      </c>
      <c r="C21" s="4" t="s">
        <v>254</v>
      </c>
      <c r="D21" s="4" t="s">
        <v>32</v>
      </c>
      <c r="E21" s="6">
        <v>1</v>
      </c>
      <c r="F21" s="6"/>
      <c r="G21" s="6">
        <f t="shared" si="0"/>
        <v>1</v>
      </c>
      <c r="H21" s="4" t="s">
        <v>221</v>
      </c>
      <c r="I21" s="5"/>
      <c r="J21" s="5"/>
      <c r="K21" s="4"/>
    </row>
    <row r="22" spans="1:11">
      <c r="A22" s="4" t="s">
        <v>148</v>
      </c>
      <c r="B22" s="4" t="s">
        <v>149</v>
      </c>
      <c r="C22" s="4" t="s">
        <v>254</v>
      </c>
      <c r="D22" s="4" t="s">
        <v>32</v>
      </c>
      <c r="E22" s="6">
        <v>2</v>
      </c>
      <c r="F22" s="6"/>
      <c r="G22" s="6">
        <f t="shared" si="0"/>
        <v>2</v>
      </c>
      <c r="H22" s="4" t="s">
        <v>221</v>
      </c>
      <c r="I22" s="5"/>
      <c r="J22" s="5"/>
      <c r="K22" s="4"/>
    </row>
    <row r="23" spans="1:11">
      <c r="A23" s="4" t="s">
        <v>150</v>
      </c>
      <c r="B23" s="4" t="s">
        <v>151</v>
      </c>
      <c r="C23" s="4" t="s">
        <v>250</v>
      </c>
      <c r="D23" s="4" t="s">
        <v>32</v>
      </c>
      <c r="E23" s="6">
        <v>1.5</v>
      </c>
      <c r="F23" s="6"/>
      <c r="G23" s="6">
        <f t="shared" si="0"/>
        <v>1.5</v>
      </c>
      <c r="H23" s="4" t="s">
        <v>221</v>
      </c>
      <c r="I23" s="5"/>
      <c r="J23" s="5"/>
      <c r="K23" s="4"/>
    </row>
    <row r="24" spans="1:11">
      <c r="A24" s="4" t="s">
        <v>152</v>
      </c>
      <c r="B24" s="4" t="s">
        <v>153</v>
      </c>
      <c r="C24" s="4" t="s">
        <v>250</v>
      </c>
      <c r="D24" s="4" t="s">
        <v>32</v>
      </c>
      <c r="E24" s="6">
        <v>1.5</v>
      </c>
      <c r="F24" s="6"/>
      <c r="G24" s="6">
        <f t="shared" si="0"/>
        <v>1.5</v>
      </c>
      <c r="H24" s="4" t="s">
        <v>221</v>
      </c>
      <c r="I24" s="5"/>
      <c r="J24" s="5"/>
      <c r="K24" s="4"/>
    </row>
    <row r="25" spans="1:11">
      <c r="A25" s="4" t="s">
        <v>154</v>
      </c>
      <c r="B25" s="4" t="s">
        <v>155</v>
      </c>
      <c r="C25" s="4" t="s">
        <v>250</v>
      </c>
      <c r="D25" s="4" t="s">
        <v>32</v>
      </c>
      <c r="E25" s="6">
        <v>1.5</v>
      </c>
      <c r="F25" s="6"/>
      <c r="G25" s="6">
        <f t="shared" si="0"/>
        <v>1.5</v>
      </c>
      <c r="H25" s="4" t="s">
        <v>221</v>
      </c>
      <c r="I25" s="5"/>
      <c r="J25" s="5"/>
      <c r="K25" s="4"/>
    </row>
    <row r="26" spans="1:11" ht="27.6">
      <c r="A26" s="4" t="s">
        <v>156</v>
      </c>
      <c r="B26" s="4" t="s">
        <v>157</v>
      </c>
      <c r="C26" s="4" t="s">
        <v>250</v>
      </c>
      <c r="D26" s="4" t="s">
        <v>55</v>
      </c>
      <c r="E26" s="6">
        <v>1</v>
      </c>
      <c r="F26" s="6"/>
      <c r="G26" s="6">
        <f t="shared" si="0"/>
        <v>1</v>
      </c>
      <c r="H26" s="4" t="s">
        <v>221</v>
      </c>
      <c r="I26" s="5"/>
      <c r="J26" s="5"/>
      <c r="K26" s="4"/>
    </row>
    <row r="27" spans="1:11" ht="27.6">
      <c r="A27" s="4" t="s">
        <v>158</v>
      </c>
      <c r="B27" s="4" t="s">
        <v>159</v>
      </c>
      <c r="C27" s="4" t="s">
        <v>250</v>
      </c>
      <c r="D27" s="4" t="s">
        <v>32</v>
      </c>
      <c r="E27" s="6">
        <v>2</v>
      </c>
      <c r="F27" s="6"/>
      <c r="G27" s="6">
        <f t="shared" si="0"/>
        <v>2</v>
      </c>
      <c r="H27" s="4" t="s">
        <v>221</v>
      </c>
      <c r="I27" s="5"/>
      <c r="J27" s="5"/>
      <c r="K27" s="4"/>
    </row>
  </sheetData>
  <mergeCells count="6">
    <mergeCell ref="A7:K7"/>
    <mergeCell ref="A1:K1"/>
    <mergeCell ref="B2:E2"/>
    <mergeCell ref="B3:E3"/>
    <mergeCell ref="B4:E4"/>
    <mergeCell ref="B5:E5"/>
  </mergeCells>
  <conditionalFormatting sqref="F10:F27">
    <cfRule type="expression" dxfId="9" priority="5">
      <formula>AND($H10="Finalizado",$F10="")</formula>
    </cfRule>
  </conditionalFormatting>
  <conditionalFormatting sqref="H10:H27">
    <cfRule type="expression" dxfId="8" priority="1">
      <formula>$H10="Finalizado"</formula>
    </cfRule>
    <cfRule type="expression" dxfId="7" priority="2">
      <formula>$H10="En progreso"</formula>
    </cfRule>
    <cfRule type="expression" dxfId="6" priority="3">
      <formula>$H10="Validación"</formula>
    </cfRule>
    <cfRule type="expression" dxfId="5" priority="4">
      <formula>$H10="Bloqueado"</formula>
    </cfRule>
  </conditionalFormatting>
  <dataValidations count="2">
    <dataValidation type="list" sqref="D10:D27" xr:uid="{00000000-0002-0000-0500-000000000000}">
      <formula1>"Alta,Media,Baja"</formula1>
    </dataValidation>
    <dataValidation type="list" sqref="H10:H27" xr:uid="{00000000-0002-0000-05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zoomScale="73" zoomScaleNormal="73" workbookViewId="0">
      <selection activeCell="A7" sqref="A7:K7"/>
    </sheetView>
  </sheetViews>
  <sheetFormatPr defaultColWidth="9" defaultRowHeight="13.8"/>
  <cols>
    <col min="1" max="1" width="23.59765625" bestFit="1" customWidth="1"/>
    <col min="2" max="2" width="48" customWidth="1"/>
    <col min="3" max="3" width="22" customWidth="1"/>
    <col min="4" max="4" width="11" customWidth="1"/>
    <col min="5" max="5" width="17" customWidth="1"/>
    <col min="6" max="6" width="15" customWidth="1"/>
    <col min="7" max="7" width="17" customWidth="1"/>
    <col min="8" max="8" width="14" customWidth="1"/>
    <col min="9" max="10" width="13" customWidth="1"/>
    <col min="11" max="11" width="38" customWidth="1"/>
  </cols>
  <sheetData>
    <row r="1" spans="1:11" ht="27.9" customHeight="1">
      <c r="A1" s="9" t="s">
        <v>241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8">
      <c r="A2" s="7" t="s">
        <v>201</v>
      </c>
      <c r="B2" s="10" t="s">
        <v>242</v>
      </c>
      <c r="C2" s="10"/>
      <c r="D2" s="10"/>
      <c r="E2" s="10"/>
      <c r="G2" s="1" t="s">
        <v>3</v>
      </c>
      <c r="H2" s="2">
        <f>COUNTA(A10:A29)</f>
        <v>20</v>
      </c>
    </row>
    <row r="3" spans="1:11" ht="16.8">
      <c r="A3" s="7" t="s">
        <v>203</v>
      </c>
      <c r="B3" s="10" t="s">
        <v>243</v>
      </c>
      <c r="C3" s="10"/>
      <c r="D3" s="10"/>
      <c r="E3" s="10"/>
      <c r="G3" s="1" t="s">
        <v>5</v>
      </c>
      <c r="H3" s="2">
        <f>COUNTIF(H10:H29,"Finalizado")</f>
        <v>0</v>
      </c>
    </row>
    <row r="4" spans="1:11" ht="16.8">
      <c r="A4" s="7" t="s">
        <v>205</v>
      </c>
      <c r="B4" s="10" t="s">
        <v>244</v>
      </c>
      <c r="C4" s="10"/>
      <c r="D4" s="10"/>
      <c r="E4" s="10"/>
      <c r="G4" s="1" t="s">
        <v>207</v>
      </c>
      <c r="H4" s="2">
        <f>SUM(E10:E29)</f>
        <v>37</v>
      </c>
    </row>
    <row r="5" spans="1:11" ht="16.8">
      <c r="A5" s="7" t="s">
        <v>248</v>
      </c>
      <c r="B5" s="10" t="s">
        <v>245</v>
      </c>
      <c r="C5" s="10"/>
      <c r="D5" s="10"/>
      <c r="E5" s="10"/>
      <c r="G5" s="1" t="s">
        <v>209</v>
      </c>
      <c r="H5" s="2">
        <f>SUM(F10:F29)</f>
        <v>0</v>
      </c>
    </row>
    <row r="6" spans="1:11" ht="16.8">
      <c r="G6" s="1" t="s">
        <v>210</v>
      </c>
      <c r="H6" s="2">
        <f>SUM(G10:G29)</f>
        <v>37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9" spans="1:11" ht="38.1" customHeight="1">
      <c r="A9" s="3" t="s">
        <v>211</v>
      </c>
      <c r="B9" s="3" t="s">
        <v>212</v>
      </c>
      <c r="C9" s="3" t="s">
        <v>213</v>
      </c>
      <c r="D9" s="3" t="s">
        <v>21</v>
      </c>
      <c r="E9" s="3" t="s">
        <v>214</v>
      </c>
      <c r="F9" s="3" t="s">
        <v>215</v>
      </c>
      <c r="G9" s="3" t="s">
        <v>216</v>
      </c>
      <c r="H9" s="3" t="s">
        <v>27</v>
      </c>
      <c r="I9" s="3" t="s">
        <v>217</v>
      </c>
      <c r="J9" s="3" t="s">
        <v>218</v>
      </c>
      <c r="K9" s="3" t="s">
        <v>219</v>
      </c>
    </row>
    <row r="10" spans="1:11">
      <c r="A10" s="4" t="s">
        <v>160</v>
      </c>
      <c r="B10" s="4" t="s">
        <v>161</v>
      </c>
      <c r="C10" s="4"/>
      <c r="D10" s="4" t="s">
        <v>32</v>
      </c>
      <c r="E10" s="6">
        <v>3</v>
      </c>
      <c r="F10" s="6"/>
      <c r="G10" s="6">
        <f t="shared" ref="G10:G29" si="0">IF(H10="Finalizado",0,MAX(E10-IF(F10="",0,F10),0))</f>
        <v>3</v>
      </c>
      <c r="H10" s="4" t="s">
        <v>221</v>
      </c>
      <c r="I10" s="5"/>
      <c r="J10" s="5"/>
      <c r="K10" s="4"/>
    </row>
    <row r="11" spans="1:11">
      <c r="A11" s="4" t="s">
        <v>162</v>
      </c>
      <c r="B11" s="4" t="s">
        <v>163</v>
      </c>
      <c r="C11" s="4"/>
      <c r="D11" s="4" t="s">
        <v>32</v>
      </c>
      <c r="E11" s="6">
        <v>1</v>
      </c>
      <c r="F11" s="6"/>
      <c r="G11" s="6">
        <f t="shared" si="0"/>
        <v>1</v>
      </c>
      <c r="H11" s="4" t="s">
        <v>221</v>
      </c>
      <c r="I11" s="5"/>
      <c r="J11" s="5"/>
      <c r="K11" s="4"/>
    </row>
    <row r="12" spans="1:11">
      <c r="A12" s="4" t="s">
        <v>164</v>
      </c>
      <c r="B12" s="4" t="s">
        <v>165</v>
      </c>
      <c r="C12" s="4"/>
      <c r="D12" s="4" t="s">
        <v>32</v>
      </c>
      <c r="E12" s="6">
        <v>1</v>
      </c>
      <c r="F12" s="6"/>
      <c r="G12" s="6">
        <f t="shared" si="0"/>
        <v>1</v>
      </c>
      <c r="H12" s="4" t="s">
        <v>221</v>
      </c>
      <c r="I12" s="5"/>
      <c r="J12" s="5"/>
      <c r="K12" s="4"/>
    </row>
    <row r="13" spans="1:11">
      <c r="A13" s="4" t="s">
        <v>166</v>
      </c>
      <c r="B13" s="4" t="s">
        <v>167</v>
      </c>
      <c r="C13" s="4"/>
      <c r="D13" s="4" t="s">
        <v>32</v>
      </c>
      <c r="E13" s="6">
        <v>1.5</v>
      </c>
      <c r="F13" s="6"/>
      <c r="G13" s="6">
        <f t="shared" si="0"/>
        <v>1.5</v>
      </c>
      <c r="H13" s="4" t="s">
        <v>221</v>
      </c>
      <c r="I13" s="5"/>
      <c r="J13" s="5"/>
      <c r="K13" s="4"/>
    </row>
    <row r="14" spans="1:11">
      <c r="A14" s="4" t="s">
        <v>168</v>
      </c>
      <c r="B14" s="4" t="s">
        <v>169</v>
      </c>
      <c r="C14" s="4"/>
      <c r="D14" s="4" t="s">
        <v>32</v>
      </c>
      <c r="E14" s="6">
        <v>1.5</v>
      </c>
      <c r="F14" s="6"/>
      <c r="G14" s="6">
        <f t="shared" si="0"/>
        <v>1.5</v>
      </c>
      <c r="H14" s="4" t="s">
        <v>221</v>
      </c>
      <c r="I14" s="5"/>
      <c r="J14" s="5"/>
      <c r="K14" s="4"/>
    </row>
    <row r="15" spans="1:11">
      <c r="A15" s="4" t="s">
        <v>170</v>
      </c>
      <c r="B15" s="4" t="s">
        <v>171</v>
      </c>
      <c r="C15" s="4"/>
      <c r="D15" s="4" t="s">
        <v>32</v>
      </c>
      <c r="E15" s="6">
        <v>5</v>
      </c>
      <c r="F15" s="6"/>
      <c r="G15" s="6">
        <f t="shared" si="0"/>
        <v>5</v>
      </c>
      <c r="H15" s="4" t="s">
        <v>221</v>
      </c>
      <c r="I15" s="5"/>
      <c r="J15" s="5"/>
      <c r="K15" s="4"/>
    </row>
    <row r="16" spans="1:11" ht="27.6">
      <c r="A16" s="4" t="s">
        <v>172</v>
      </c>
      <c r="B16" s="4" t="s">
        <v>173</v>
      </c>
      <c r="C16" s="4"/>
      <c r="D16" s="4" t="s">
        <v>32</v>
      </c>
      <c r="E16" s="6">
        <v>2</v>
      </c>
      <c r="F16" s="6"/>
      <c r="G16" s="6">
        <f t="shared" si="0"/>
        <v>2</v>
      </c>
      <c r="H16" s="4" t="s">
        <v>221</v>
      </c>
      <c r="I16" s="5"/>
      <c r="J16" s="5"/>
      <c r="K16" s="4"/>
    </row>
    <row r="17" spans="1:11">
      <c r="A17" s="4" t="s">
        <v>174</v>
      </c>
      <c r="B17" s="4" t="s">
        <v>175</v>
      </c>
      <c r="C17" s="4"/>
      <c r="D17" s="4" t="s">
        <v>32</v>
      </c>
      <c r="E17" s="6">
        <v>1.5</v>
      </c>
      <c r="F17" s="6"/>
      <c r="G17" s="6">
        <f t="shared" si="0"/>
        <v>1.5</v>
      </c>
      <c r="H17" s="4" t="s">
        <v>221</v>
      </c>
      <c r="I17" s="5"/>
      <c r="J17" s="5"/>
      <c r="K17" s="4"/>
    </row>
    <row r="18" spans="1:11" ht="27.6">
      <c r="A18" s="4" t="s">
        <v>176</v>
      </c>
      <c r="B18" s="4" t="s">
        <v>177</v>
      </c>
      <c r="C18" s="4"/>
      <c r="D18" s="4" t="s">
        <v>32</v>
      </c>
      <c r="E18" s="6">
        <v>1</v>
      </c>
      <c r="F18" s="6"/>
      <c r="G18" s="6">
        <f t="shared" si="0"/>
        <v>1</v>
      </c>
      <c r="H18" s="4" t="s">
        <v>221</v>
      </c>
      <c r="I18" s="5"/>
      <c r="J18" s="5"/>
      <c r="K18" s="4"/>
    </row>
    <row r="19" spans="1:11" ht="27.6">
      <c r="A19" s="4" t="s">
        <v>178</v>
      </c>
      <c r="B19" s="4" t="s">
        <v>179</v>
      </c>
      <c r="C19" s="4"/>
      <c r="D19" s="4" t="s">
        <v>32</v>
      </c>
      <c r="E19" s="6">
        <v>1</v>
      </c>
      <c r="F19" s="6"/>
      <c r="G19" s="6">
        <f t="shared" si="0"/>
        <v>1</v>
      </c>
      <c r="H19" s="4" t="s">
        <v>221</v>
      </c>
      <c r="I19" s="5"/>
      <c r="J19" s="5"/>
      <c r="K19" s="4"/>
    </row>
    <row r="20" spans="1:11">
      <c r="A20" s="4" t="s">
        <v>180</v>
      </c>
      <c r="B20" s="4" t="s">
        <v>181</v>
      </c>
      <c r="C20" s="4"/>
      <c r="D20" s="4" t="s">
        <v>32</v>
      </c>
      <c r="E20" s="6">
        <v>4</v>
      </c>
      <c r="F20" s="6"/>
      <c r="G20" s="6">
        <f t="shared" si="0"/>
        <v>4</v>
      </c>
      <c r="H20" s="4" t="s">
        <v>221</v>
      </c>
      <c r="I20" s="5"/>
      <c r="J20" s="5"/>
      <c r="K20" s="4"/>
    </row>
    <row r="21" spans="1:11">
      <c r="A21" s="4" t="s">
        <v>182</v>
      </c>
      <c r="B21" s="4" t="s">
        <v>183</v>
      </c>
      <c r="C21" s="4"/>
      <c r="D21" s="4" t="s">
        <v>32</v>
      </c>
      <c r="E21" s="6">
        <v>2</v>
      </c>
      <c r="F21" s="6"/>
      <c r="G21" s="6">
        <f t="shared" si="0"/>
        <v>2</v>
      </c>
      <c r="H21" s="4" t="s">
        <v>221</v>
      </c>
      <c r="I21" s="5"/>
      <c r="J21" s="5"/>
      <c r="K21" s="4"/>
    </row>
    <row r="22" spans="1:11">
      <c r="A22" s="4" t="s">
        <v>184</v>
      </c>
      <c r="B22" s="4" t="s">
        <v>185</v>
      </c>
      <c r="C22" s="4"/>
      <c r="D22" s="4" t="s">
        <v>32</v>
      </c>
      <c r="E22" s="6">
        <v>3</v>
      </c>
      <c r="F22" s="6"/>
      <c r="G22" s="6">
        <f t="shared" si="0"/>
        <v>3</v>
      </c>
      <c r="H22" s="4" t="s">
        <v>221</v>
      </c>
      <c r="I22" s="5"/>
      <c r="J22" s="5"/>
      <c r="K22" s="4"/>
    </row>
    <row r="23" spans="1:11">
      <c r="A23" s="4" t="s">
        <v>186</v>
      </c>
      <c r="B23" s="4" t="s">
        <v>187</v>
      </c>
      <c r="C23" s="4"/>
      <c r="D23" s="4" t="s">
        <v>55</v>
      </c>
      <c r="E23" s="6">
        <v>1</v>
      </c>
      <c r="F23" s="6"/>
      <c r="G23" s="6">
        <f t="shared" si="0"/>
        <v>1</v>
      </c>
      <c r="H23" s="4" t="s">
        <v>221</v>
      </c>
      <c r="I23" s="5"/>
      <c r="J23" s="5"/>
      <c r="K23" s="4"/>
    </row>
    <row r="24" spans="1:11" ht="27.6">
      <c r="A24" s="4" t="s">
        <v>188</v>
      </c>
      <c r="B24" s="4" t="s">
        <v>189</v>
      </c>
      <c r="C24" s="4"/>
      <c r="D24" s="4" t="s">
        <v>32</v>
      </c>
      <c r="E24" s="6">
        <v>1.5</v>
      </c>
      <c r="F24" s="6"/>
      <c r="G24" s="6">
        <f t="shared" si="0"/>
        <v>1.5</v>
      </c>
      <c r="H24" s="4" t="s">
        <v>221</v>
      </c>
      <c r="I24" s="5"/>
      <c r="J24" s="5"/>
      <c r="K24" s="4"/>
    </row>
    <row r="25" spans="1:11" ht="27.6">
      <c r="A25" s="4" t="s">
        <v>190</v>
      </c>
      <c r="B25" s="4" t="s">
        <v>191</v>
      </c>
      <c r="C25" s="4"/>
      <c r="D25" s="4" t="s">
        <v>32</v>
      </c>
      <c r="E25" s="6">
        <v>1.5</v>
      </c>
      <c r="F25" s="6"/>
      <c r="G25" s="6">
        <f t="shared" si="0"/>
        <v>1.5</v>
      </c>
      <c r="H25" s="4" t="s">
        <v>221</v>
      </c>
      <c r="I25" s="5"/>
      <c r="J25" s="5"/>
      <c r="K25" s="4"/>
    </row>
    <row r="26" spans="1:11">
      <c r="A26" s="4" t="s">
        <v>192</v>
      </c>
      <c r="B26" s="4" t="s">
        <v>193</v>
      </c>
      <c r="C26" s="4"/>
      <c r="D26" s="4" t="s">
        <v>32</v>
      </c>
      <c r="E26" s="6">
        <v>1</v>
      </c>
      <c r="F26" s="6"/>
      <c r="G26" s="6">
        <f t="shared" si="0"/>
        <v>1</v>
      </c>
      <c r="H26" s="4" t="s">
        <v>221</v>
      </c>
      <c r="I26" s="5"/>
      <c r="J26" s="5"/>
      <c r="K26" s="4"/>
    </row>
    <row r="27" spans="1:11" ht="27.6">
      <c r="A27" s="4" t="s">
        <v>194</v>
      </c>
      <c r="B27" s="4" t="s">
        <v>195</v>
      </c>
      <c r="C27" s="4"/>
      <c r="D27" s="4" t="s">
        <v>55</v>
      </c>
      <c r="E27" s="6">
        <v>1.5</v>
      </c>
      <c r="F27" s="6"/>
      <c r="G27" s="6">
        <f t="shared" si="0"/>
        <v>1.5</v>
      </c>
      <c r="H27" s="4" t="s">
        <v>221</v>
      </c>
      <c r="I27" s="5"/>
      <c r="J27" s="5"/>
      <c r="K27" s="4"/>
    </row>
    <row r="28" spans="1:11">
      <c r="A28" s="4" t="s">
        <v>196</v>
      </c>
      <c r="B28" s="4" t="s">
        <v>197</v>
      </c>
      <c r="C28" s="4"/>
      <c r="D28" s="4" t="s">
        <v>32</v>
      </c>
      <c r="E28" s="6">
        <v>1</v>
      </c>
      <c r="F28" s="6"/>
      <c r="G28" s="6">
        <f t="shared" si="0"/>
        <v>1</v>
      </c>
      <c r="H28" s="4" t="s">
        <v>221</v>
      </c>
      <c r="I28" s="5"/>
      <c r="J28" s="5"/>
      <c r="K28" s="4"/>
    </row>
    <row r="29" spans="1:11">
      <c r="A29" s="4" t="s">
        <v>198</v>
      </c>
      <c r="B29" s="4" t="s">
        <v>199</v>
      </c>
      <c r="C29" s="4"/>
      <c r="D29" s="4" t="s">
        <v>32</v>
      </c>
      <c r="E29" s="6">
        <v>2</v>
      </c>
      <c r="F29" s="6"/>
      <c r="G29" s="6">
        <f t="shared" si="0"/>
        <v>2</v>
      </c>
      <c r="H29" s="4" t="s">
        <v>221</v>
      </c>
      <c r="I29" s="5"/>
      <c r="J29" s="5"/>
      <c r="K29" s="4"/>
    </row>
  </sheetData>
  <mergeCells count="6">
    <mergeCell ref="A7:K7"/>
    <mergeCell ref="A1:K1"/>
    <mergeCell ref="B2:E2"/>
    <mergeCell ref="B3:E3"/>
    <mergeCell ref="B4:E4"/>
    <mergeCell ref="B5:E5"/>
  </mergeCells>
  <conditionalFormatting sqref="F10:F29">
    <cfRule type="expression" dxfId="4" priority="5">
      <formula>AND($H10="Finalizado",$F10="")</formula>
    </cfRule>
  </conditionalFormatting>
  <conditionalFormatting sqref="H10:H29">
    <cfRule type="expression" dxfId="3" priority="1">
      <formula>$H10="Finalizado"</formula>
    </cfRule>
    <cfRule type="expression" dxfId="2" priority="2">
      <formula>$H10="En progreso"</formula>
    </cfRule>
    <cfRule type="expression" dxfId="1" priority="3">
      <formula>$H10="Validación"</formula>
    </cfRule>
    <cfRule type="expression" dxfId="0" priority="4">
      <formula>$H10="Bloqueado"</formula>
    </cfRule>
  </conditionalFormatting>
  <dataValidations count="2">
    <dataValidation type="list" sqref="D10:D29" xr:uid="{00000000-0002-0000-0600-000000000000}">
      <formula1>"Alta,Media,Baja"</formula1>
    </dataValidation>
    <dataValidation type="list" sqref="H10:H29" xr:uid="{00000000-0002-0000-0600-000001000000}">
      <formula1>"Pendiente,En progreso,Validación,Finalizado,Bloqueado"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Backlog</vt:lpstr>
      <vt:lpstr>Sprint 1</vt:lpstr>
      <vt:lpstr>Sprint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M.R</dc:creator>
  <cp:lastModifiedBy>EMANUEL BARRIOS CASTRILLON</cp:lastModifiedBy>
  <dcterms:created xsi:type="dcterms:W3CDTF">2026-08-16T21:44:24Z</dcterms:created>
  <dcterms:modified xsi:type="dcterms:W3CDTF">2026-10-10T22:42:26Z</dcterms:modified>
</cp:coreProperties>
</file>