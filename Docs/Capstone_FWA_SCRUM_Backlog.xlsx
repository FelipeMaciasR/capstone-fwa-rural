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arrios\Desktop\Capstone-Gestion-II\capstone-fwa-rural\Docs\"/>
    </mc:Choice>
  </mc:AlternateContent>
  <xr:revisionPtr revIDLastSave="0" documentId="13_ncr:1_{8EA850A1-92C2-4AB4-843F-36E2740F575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G17" i="5"/>
  <c r="G16" i="5"/>
  <c r="G15" i="5"/>
  <c r="G14" i="5"/>
  <c r="G13" i="5"/>
  <c r="J50" i="1" s="1"/>
  <c r="G12" i="5"/>
  <c r="G11" i="5"/>
  <c r="J48" i="1" s="1"/>
  <c r="G10" i="5"/>
  <c r="H5" i="5"/>
  <c r="H4" i="5"/>
  <c r="H3" i="5"/>
  <c r="H2" i="5"/>
  <c r="G19" i="4"/>
  <c r="J46" i="1" s="1"/>
  <c r="G18" i="4"/>
  <c r="G17" i="4"/>
  <c r="J44" i="1" s="1"/>
  <c r="G16" i="4"/>
  <c r="G15" i="4"/>
  <c r="G14" i="4"/>
  <c r="J41" i="1" s="1"/>
  <c r="G13" i="4"/>
  <c r="J40" i="1" s="1"/>
  <c r="G12" i="4"/>
  <c r="J39" i="1" s="1"/>
  <c r="G11" i="4"/>
  <c r="J38" i="1" s="1"/>
  <c r="G10" i="4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I48" i="1"/>
  <c r="M47" i="1"/>
  <c r="L47" i="1"/>
  <c r="K47" i="1"/>
  <c r="J47" i="1"/>
  <c r="I47" i="1"/>
  <c r="M46" i="1"/>
  <c r="L46" i="1"/>
  <c r="K46" i="1"/>
  <c r="I46" i="1"/>
  <c r="M45" i="1"/>
  <c r="L45" i="1"/>
  <c r="K45" i="1"/>
  <c r="J45" i="1"/>
  <c r="I45" i="1"/>
  <c r="M44" i="1"/>
  <c r="L44" i="1"/>
  <c r="K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Q5" i="1" s="1"/>
  <c r="J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6" i="1" l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<sst xmlns="http://schemas.openxmlformats.org/spreadsheetml/2006/main" count="886" uniqueCount="257">
  <si>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</si>
  <si>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</si>
  <si>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</si>
  <si>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</si>
  <si>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</si>
  <si>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</si>
  <si>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</si>
  <si>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</si>
  <si>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</si>
  <si>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</si>
  <si>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</si>
  <si>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</si>
  <si>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</si>
  <si>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</si>
  <si>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</si>
  <si>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</si>
  <si>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</si>
  <si>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</si>
  <si>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</si>
  <si>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</si>
  <si>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</si>
  <si>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</si>
  <si>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</si>
  <si>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</si>
  <si>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</si>
  <si>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</si>
  <si>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</si>
  <si>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</si>
  <si>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</si>
  <si>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</si>
  <si>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</si>
  <si>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</si>
  <si>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</si>
  <si>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</si>
  <si>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</si>
  <si>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</si>
  <si>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</si>
  <si>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</si>
  <si>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</si>
  <si>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</si>
  <si>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</si>
  <si>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</si>
  <si>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</si>
  <si>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</si>
  <si>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</si>
  <si>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</si>
  <si>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</si>
  <si>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</si>
  <si>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</si>
  <si>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</si>
  <si>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</si>
  <si>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</si>
  <si>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</si>
  <si>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</si>
  <si>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</si>
  <si>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</si>
  <si>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</si>
  <si>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</si>
  <si>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</si>
  <si>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</si>
  <si>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</si>
  <si>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</si>
  <si>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</si>
  <si>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</si>
  <si>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</si>
  <si>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</si>
  <si>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</si>
  <si>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</si>
  <si>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</si>
  <si>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</si>
  <si>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</si>
  <si>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</si>
  <si>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</si>
  <si>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</si>
  <si>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</si>
  <si>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</si>
  <si>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</si>
  <si>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</si>
  <si>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</si>
  <si>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</si>
  <si>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</si>
  <si>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</si>
  <si>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</si>
  <si>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</si>
  <si>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</si>
  <si>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</si>
  <si>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</si>
  <si>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</si>
  <si>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</si>
  <si>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</si>
  <si>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</si>
  <si>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</si>
  <si>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</si>
  <si>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</si>
  <si>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</si>
  <si>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</si>
  <si>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</si>
  <si>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</si>
  <si>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</si>
  <si>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</si>
  <si>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</si>
  <si>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</si>
  <si>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</si>
  <si>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</si>
  <si>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</si>
  <si>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</si>
  <si>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</si>
  <si>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</si>
  <si>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</si>
  <si>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</si>
  <si>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</si>
  <si>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</si>
  <si>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</si>
  <si>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</si>
  <si>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</si>
  <si>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</si>
  <si>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</si>
  <si>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</si>
  <si>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</si>
  <si>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</si>
  <si>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</si>
  <si>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</si>
  <si>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</si>
  <si>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</si>
  <si>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</si>
  <si>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</si>
  <si>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</si>
  <si>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</si>
  <si>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</si>
  <si>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</si>
  <si>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</si>
  <si>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</si>
  <si>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</si>
  <si>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</si>
  <si>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</si>
  <si>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</si>
  <si>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</si>
  <si>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</si>
  <si>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</si>
  <si>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</si>
  <si>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</si>
  <si>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</si>
  <si>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</si>
  <si>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</si>
  <si>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</si>
  <si>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</si>
  <si>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</si>
  <si>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</si>
  <si>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</si>
  <si>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</si>
  <si>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</si>
  <si>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</si>
  <si>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</si>
  <si>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</si>
  <si>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</si>
  <si>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</si>
  <si>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</si>
  <si>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</si>
  <si>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</si>
  <si>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</si>
  <si>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</si>
  <si>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</si>
  <si>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</si>
  <si>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</si>
  <si>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</si>
  <si>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</si>
  <si>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</si>
  <si>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</si>
  <si>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</si>
  <si>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</si>
  <si>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</si>
  <si>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</si>
  <si>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</si>
  <si>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</si>
  <si>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</si>
  <si>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</si>
  <si>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</si>
  <si>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</si>
  <si>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</si>
  <si>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</si>
  <si>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</si>
  <si>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</si>
  <si>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</si>
  <si>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</si>
  <si>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</si>
  <si>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</si>
  <si>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</si>
  <si>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</si>
  <si>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</si>
  <si>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</si>
  <si>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</si>
  <si>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</si>
  <si>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</si>
  <si>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</si>
  <si>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</si>
  <si>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</si>
  <si>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</si>
  <si>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</si>
  <si>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</si>
  <si>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</si>
  <si>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</si>
  <si>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</si>
  <si>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</si>
  <si>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</si>
  <si>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</si>
  <si>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</si>
  <si>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</si>
  <si>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</si>
  <si>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</si>
  <si>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</si>
  <si>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</si>
  <si>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</si>
  <si>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</si>
  <si>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</si>
  <si>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</si>
  <si>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</si>
  <si>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</si>
  <si>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</si>
  <si>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</si>
  <si>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</si>
  <si>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</si>
  <si>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</si>
  <si>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</si>
  <si>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</si>
  <si>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</si>
  <si>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</si>
  <si>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</si>
  <si>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</si>
  <si>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</si>
  <si>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</si>
  <si>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</si>
  <si>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</si>
  <si>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</si>
  <si>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</si>
  <si>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</si>
  <si>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</si>
  <si>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</si>
  <si>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</si>
  <si>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</si>
  <si>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</si>
  <si>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</si>
  <si>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</si>
  <si>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</si>
  <si>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</si>
  <si>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</si>
  <si>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</si>
  <si>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</si>
  <si>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</si>
  <si>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</si>
  <si>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</si>
  <si>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</si>
  <si>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</si>
  <si>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</si>
  <si>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</si>
  <si>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</si>
  <si>
    <t>Validación</t>
  </si>
  <si>
    <t>En Proceso de Revisión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</si>
</sst>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29" zoomScale="69" zoomScaleNormal="85" workbookViewId="0">
      <selection activeCell="H34" sqref="H34"/>
    </sheetView>
  </sheetViews>
  <sheetFormatPr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26</v>
      </c>
      <c r="G4" s="1" t="s">
        <v>9</v>
      </c>
      <c r="H4" s="2">
        <f>COUNTIF(K11:K94,"Pendiente")</f>
        <v>55</v>
      </c>
      <c r="I4" s="1" t="s">
        <v>10</v>
      </c>
      <c r="J4" s="2">
        <f>SUM(I11:I94)</f>
        <v>41</v>
      </c>
      <c r="K4" s="1" t="s">
        <v>11</v>
      </c>
      <c r="L4" s="2">
        <f>SUM(J11:J94)</f>
        <v>96.5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 ht="15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 ht="15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 ht="15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 ht="15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 ht="29.2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9.2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 ht="29.2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 ht="15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/>
      <c r="G37" s="4"/>
      <c r="H37" s="6">
        <v>2</v>
      </c>
      <c r="I37" s="6" t="str">
        <f>IF('Sprint 3'!F10="","",'Sprint 3'!F10)</f>
        <v/>
      </c>
      <c r="J37" s="6">
        <f>'Sprint 3'!G10</f>
        <v>2</v>
      </c>
      <c r="K37" s="4" t="str">
        <f>'Sprint 3'!H10</f>
        <v>Pendiente</v>
      </c>
      <c r="L37" s="4" t="str">
        <f>IF('Sprint 3'!C10="","",'Sprint 3'!C10)</f>
        <v>Felipe</v>
      </c>
      <c r="M37" s="4" t="str">
        <f>IF('Sprint 3'!K10="","",'Sprint 3'!K10)</f>
        <v/>
      </c>
    </row>
    <row r="38" spans="1:13" ht="28.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/>
      <c r="G38" s="4"/>
      <c r="H38" s="6">
        <v>1.5</v>
      </c>
      <c r="I38" s="6" t="str">
        <f>IF('Sprint 3'!F11="","",'Sprint 3'!F11)</f>
        <v/>
      </c>
      <c r="J38" s="6">
        <f>'Sprint 3'!G11</f>
        <v>1.5</v>
      </c>
      <c r="K38" s="4" t="str">
        <f>'Sprint 3'!H11</f>
        <v>Pendiente</v>
      </c>
      <c r="L38" s="4" t="str">
        <f>IF('Sprint 3'!C11="","",'Sprint 3'!C11)</f>
        <v>Felipe</v>
      </c>
      <c r="M38" s="4" t="str">
        <f>IF('Sprint 3'!K11="","",'Sprint 3'!K11)</f>
        <v/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/>
      <c r="G39" s="4"/>
      <c r="H39" s="6">
        <v>3</v>
      </c>
      <c r="I39" s="6" t="str">
        <f>IF('Sprint 3'!F12="","",'Sprint 3'!F12)</f>
        <v/>
      </c>
      <c r="J39" s="6">
        <f>'Sprint 3'!G12</f>
        <v>3</v>
      </c>
      <c r="K39" s="4" t="str">
        <f>'Sprint 3'!H12</f>
        <v>Pendiente</v>
      </c>
      <c r="L39" s="4" t="str">
        <f>IF('Sprint 3'!C12="","",'Sprint 3'!C12)</f>
        <v>Felipe</v>
      </c>
      <c r="M39" s="4" t="str">
        <f>IF('Sprint 3'!K12="","",'Sprint 3'!K12)</f>
        <v/>
      </c>
    </row>
    <row r="40" spans="1:13" ht="15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/>
      <c r="G40" s="4"/>
      <c r="H40" s="6">
        <v>2</v>
      </c>
      <c r="I40" s="6">
        <f>IF('Sprint 3'!F13="","",'Sprint 3'!F13)</f>
        <v>2</v>
      </c>
      <c r="J40" s="6">
        <f>'Sprint 3'!G13</f>
        <v>0</v>
      </c>
      <c r="K40" s="4" t="str">
        <f>'Sprint 3'!H13</f>
        <v>Validación</v>
      </c>
      <c r="L40" s="4" t="str">
        <f>IF('Sprint 3'!C13="","",'Sprint 3'!C13)</f>
        <v>Jhon</v>
      </c>
      <c r="M40" s="4" t="str">
        <f>IF('Sprint 3'!K13="","",'Sprint 3'!K13)</f>
        <v>En Proceso de Revisión</v>
      </c>
    </row>
    <row r="41" spans="1:13" ht="15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/>
      <c r="G41" s="4"/>
      <c r="H41" s="6">
        <v>2</v>
      </c>
      <c r="I41" s="6">
        <f>IF('Sprint 3'!F14="","",'Sprint 3'!F14)</f>
        <v>2</v>
      </c>
      <c r="J41" s="6">
        <f>'Sprint 3'!G14</f>
        <v>0</v>
      </c>
      <c r="K41" s="4" t="str">
        <f>'Sprint 3'!H14</f>
        <v>Validación</v>
      </c>
      <c r="L41" s="4" t="str">
        <f>IF('Sprint 3'!C14="","",'Sprint 3'!C14)</f>
        <v>Jhon</v>
      </c>
      <c r="M41" s="4" t="str">
        <f>IF('Sprint 3'!K14="","",'Sprint 3'!K14)</f>
        <v>En Proceso de Revisión</v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/>
      <c r="G42" s="4"/>
      <c r="H42" s="6">
        <v>1.5</v>
      </c>
      <c r="I42" s="6" t="str">
        <f>IF('Sprint 3'!F15="","",'Sprint 3'!F15)</f>
        <v/>
      </c>
      <c r="J42" s="6">
        <f>'Sprint 3'!G15</f>
        <v>1.5</v>
      </c>
      <c r="K42" s="4" t="str">
        <f>'Sprint 3'!H15</f>
        <v>Pendiente</v>
      </c>
      <c r="L42" s="4" t="str">
        <f>IF('Sprint 3'!C15="","",'Sprint 3'!C15)</f>
        <v>Emanuel</v>
      </c>
      <c r="M42" s="4" t="str">
        <f>IF('Sprint 3'!K15="","",'Sprint 3'!K15)</f>
        <v/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/>
      <c r="G43" s="4"/>
      <c r="H43" s="6">
        <v>1.5</v>
      </c>
      <c r="I43" s="6" t="str">
        <f>IF('Sprint 3'!F16="","",'Sprint 3'!F16)</f>
        <v/>
      </c>
      <c r="J43" s="6">
        <f>'Sprint 3'!G16</f>
        <v>1.5</v>
      </c>
      <c r="K43" s="4" t="str">
        <f>'Sprint 3'!H16</f>
        <v>Pendiente</v>
      </c>
      <c r="L43" s="4" t="str">
        <f>IF('Sprint 3'!C16="","",'Sprint 3'!C16)</f>
        <v>Emanuel</v>
      </c>
      <c r="M43" s="4" t="str">
        <f>IF('Sprint 3'!K16="","",'Sprint 3'!K16)</f>
        <v/>
      </c>
    </row>
    <row r="44" spans="1:13" ht="15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/>
      <c r="G44" s="4"/>
      <c r="H44" s="6">
        <v>1</v>
      </c>
      <c r="I44" s="6">
        <f>IF('Sprint 3'!F17="","",'Sprint 3'!F17)</f>
        <v>1</v>
      </c>
      <c r="J44" s="6">
        <f>'Sprint 3'!G17</f>
        <v>0</v>
      </c>
      <c r="K44" s="4" t="str">
        <f>'Sprint 3'!H17</f>
        <v>Validación</v>
      </c>
      <c r="L44" s="4" t="str">
        <f>IF('Sprint 3'!C17="","",'Sprint 3'!C17)</f>
        <v>Jhon</v>
      </c>
      <c r="M44" s="4" t="str">
        <f>IF('Sprint 3'!K17="","",'Sprint 3'!K17)</f>
        <v>En Proceso de Revisión</v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/>
      <c r="G45" s="4"/>
      <c r="H45" s="6">
        <v>1.5</v>
      </c>
      <c r="I45" s="6" t="str">
        <f>IF('Sprint 3'!F18="","",'Sprint 3'!F18)</f>
        <v/>
      </c>
      <c r="J45" s="6">
        <f>'Sprint 3'!G18</f>
        <v>1.5</v>
      </c>
      <c r="K45" s="4" t="str">
        <f>'Sprint 3'!H18</f>
        <v>Pendiente</v>
      </c>
      <c r="L45" s="4" t="str">
        <f>IF('Sprint 3'!C18="","",'Sprint 3'!C18)</f>
        <v>Felipe</v>
      </c>
      <c r="M45" s="4" t="str">
        <f>IF('Sprint 3'!K18="","",'Sprint 3'!K18)</f>
        <v/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/>
      <c r="G46" s="4"/>
      <c r="H46" s="6">
        <v>1.5</v>
      </c>
      <c r="I46" s="6" t="str">
        <f>IF('Sprint 3'!F19="","",'Sprint 3'!F19)</f>
        <v/>
      </c>
      <c r="J46" s="6">
        <f>'Sprint 3'!G19</f>
        <v>1.5</v>
      </c>
      <c r="K46" s="4" t="str">
        <f>'Sprint 3'!H19</f>
        <v>Pendiente</v>
      </c>
      <c r="L46" s="4" t="str">
        <f>IF('Sprint 3'!C19="","",'Sprint 3'!C19)</f>
        <v>Emanuel</v>
      </c>
      <c r="M46" s="4" t="str">
        <f>IF('Sprint 3'!K19="","",'Sprint 3'!K19)</f>
        <v/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opLeftCell="B9" zoomScale="80" zoomScaleNormal="80" workbookViewId="0">
      <selection activeCell="G23" sqref="G23"/>
    </sheetView>
  </sheetViews>
  <sheetFormatPr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5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 ht="15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9.2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9.2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 ht="15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4" priority="5">
      <formula>AND($H19="Finalizado",$F19="")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abSelected="1" zoomScale="80" zoomScaleNormal="80" workbookViewId="0">
      <selection activeCell="J19" sqref="J19"/>
    </sheetView>
  </sheetViews>
  <sheetFormatPr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5</v>
      </c>
    </row>
    <row r="6" spans="1:11" ht="16.5">
      <c r="G6" s="1" t="s">
        <v>210</v>
      </c>
      <c r="H6" s="2">
        <f>SUM(G10:G19)</f>
        <v>12.5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 t="s">
        <v>253</v>
      </c>
      <c r="D10" s="4" t="s">
        <v>32</v>
      </c>
      <c r="E10" s="6">
        <v>2</v>
      </c>
      <c r="F10" s="6"/>
      <c r="G10" s="6">
        <f t="shared" ref="G10:G19" si="0">IF(H10="Finalizado",0,MAX(E10-IF(F10="",0,F10),0))</f>
        <v>2</v>
      </c>
      <c r="H10" s="4" t="s">
        <v>221</v>
      </c>
      <c r="I10" s="5"/>
      <c r="J10" s="5"/>
      <c r="K10" s="4"/>
    </row>
    <row r="11" spans="1:11" ht="28.5">
      <c r="A11" s="4" t="s">
        <v>86</v>
      </c>
      <c r="B11" s="4" t="s">
        <v>87</v>
      </c>
      <c r="C11" s="4" t="s">
        <v>253</v>
      </c>
      <c r="D11" s="4" t="s">
        <v>32</v>
      </c>
      <c r="E11" s="6">
        <v>1.5</v>
      </c>
      <c r="F11" s="6"/>
      <c r="G11" s="6">
        <f t="shared" si="0"/>
        <v>1.5</v>
      </c>
      <c r="H11" s="4" t="s">
        <v>221</v>
      </c>
      <c r="I11" s="5"/>
      <c r="J11" s="5"/>
      <c r="K11" s="4"/>
    </row>
    <row r="12" spans="1:11">
      <c r="A12" s="4" t="s">
        <v>88</v>
      </c>
      <c r="B12" s="4" t="s">
        <v>89</v>
      </c>
      <c r="C12" s="4" t="s">
        <v>253</v>
      </c>
      <c r="D12" s="4" t="s">
        <v>32</v>
      </c>
      <c r="E12" s="6">
        <v>3</v>
      </c>
      <c r="F12" s="6"/>
      <c r="G12" s="6">
        <f t="shared" si="0"/>
        <v>3</v>
      </c>
      <c r="H12" s="4" t="s">
        <v>221</v>
      </c>
      <c r="I12" s="5"/>
      <c r="J12" s="5"/>
      <c r="K12" s="4"/>
    </row>
    <row r="13" spans="1:11" ht="15">
      <c r="A13" s="4" t="s">
        <v>90</v>
      </c>
      <c r="B13" s="4" t="s">
        <v>91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255</v>
      </c>
      <c r="I13" s="5">
        <v>46280</v>
      </c>
      <c r="J13" s="5">
        <v>46282</v>
      </c>
      <c r="K13" s="4" t="s">
        <v>256</v>
      </c>
    </row>
    <row r="14" spans="1:11" ht="15">
      <c r="A14" s="4" t="s">
        <v>92</v>
      </c>
      <c r="B14" s="4" t="s">
        <v>93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255</v>
      </c>
      <c r="I14" s="5">
        <v>46280</v>
      </c>
      <c r="J14" s="5">
        <v>46282</v>
      </c>
      <c r="K14" s="4" t="s">
        <v>256</v>
      </c>
    </row>
    <row r="15" spans="1:11">
      <c r="A15" s="4" t="s">
        <v>94</v>
      </c>
      <c r="B15" s="4" t="s">
        <v>95</v>
      </c>
      <c r="C15" s="4" t="s">
        <v>254</v>
      </c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>
        <v>46281</v>
      </c>
      <c r="J15" s="5"/>
      <c r="K15" s="4"/>
    </row>
    <row r="16" spans="1:11" ht="28.5">
      <c r="A16" s="4" t="s">
        <v>96</v>
      </c>
      <c r="B16" s="4" t="s">
        <v>97</v>
      </c>
      <c r="C16" s="4" t="s">
        <v>254</v>
      </c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>
        <v>46281</v>
      </c>
      <c r="J16" s="5"/>
      <c r="K16" s="4"/>
    </row>
    <row r="17" spans="1:11" ht="15">
      <c r="A17" s="4" t="s">
        <v>98</v>
      </c>
      <c r="B17" s="4" t="s">
        <v>99</v>
      </c>
      <c r="C17" s="4" t="s">
        <v>250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255</v>
      </c>
      <c r="I17" s="5">
        <v>46278</v>
      </c>
      <c r="J17" s="5">
        <v>46282</v>
      </c>
      <c r="K17" s="4" t="s">
        <v>256</v>
      </c>
    </row>
    <row r="18" spans="1:11">
      <c r="A18" s="4" t="s">
        <v>100</v>
      </c>
      <c r="B18" s="4" t="s">
        <v>101</v>
      </c>
      <c r="C18" s="4" t="s">
        <v>253</v>
      </c>
      <c r="D18" s="4" t="s">
        <v>55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 ht="28.5">
      <c r="A19" s="4" t="s">
        <v>102</v>
      </c>
      <c r="B19" s="4" t="s">
        <v>103</v>
      </c>
      <c r="C19" s="4" t="s">
        <v>254</v>
      </c>
      <c r="D19" s="4" t="s">
        <v>55</v>
      </c>
      <c r="E19" s="6">
        <v>1.5</v>
      </c>
      <c r="F19" s="6"/>
      <c r="G19" s="6">
        <f t="shared" si="0"/>
        <v>1.5</v>
      </c>
      <c r="H19" s="4" t="s">
        <v>221</v>
      </c>
      <c r="I19" s="5">
        <v>46281</v>
      </c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2 F15:F16 F18:F19">
    <cfRule type="expression" dxfId="19" priority="5">
      <formula>AND($H10="Finalizado",$F10="")</formula>
    </cfRule>
  </conditionalFormatting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22.5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8.5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8.5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9" zoomScale="73" zoomScaleNormal="73" workbookViewId="0">
      <selection activeCell="A7" sqref="A7:K7"/>
    </sheetView>
  </sheetViews>
  <sheetFormatPr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EMANUEL BARRIOS CASTRILLON</cp:lastModifiedBy>
  <dcterms:created xsi:type="dcterms:W3CDTF">2026-08-16T21:44:24Z</dcterms:created>
  <dcterms:modified xsi:type="dcterms:W3CDTF">2026-09-20T15:51:04Z</dcterms:modified>
</cp:coreProperties>
</file>