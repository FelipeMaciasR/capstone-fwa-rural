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rrios\Desktop\capstone-fwa-rural-main (2)\capstone-fwa-rural-main\Docs\"/>
    </mc:Choice>
  </mc:AlternateContent>
  <xr:revisionPtr revIDLastSave="0" documentId="13_ncr:1_{45AEB00A-B613-44CC-9FF2-BCF80A7F74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s" sheetId="1" r:id="rId1"/>
    <sheet name="Economics" sheetId="2" r:id="rId2"/>
    <sheet name="Results" sheetId="3" r:id="rId3"/>
    <sheet name="Sensitiv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C9" i="2"/>
  <c r="B7" i="2"/>
  <c r="B6" i="3"/>
  <c r="B5" i="3"/>
  <c r="B4" i="3"/>
  <c r="G11" i="2"/>
  <c r="F11" i="2"/>
  <c r="E11" i="2"/>
  <c r="D11" i="2"/>
  <c r="C11" i="2"/>
  <c r="B11" i="2"/>
  <c r="G8" i="2"/>
  <c r="F8" i="2"/>
  <c r="E8" i="2"/>
  <c r="D8" i="2"/>
  <c r="C8" i="2"/>
  <c r="B11" i="1"/>
  <c r="B16" i="1" s="1"/>
  <c r="B8" i="1"/>
  <c r="B22" i="1" l="1"/>
  <c r="B5" i="2" s="1"/>
  <c r="C5" i="2" l="1"/>
  <c r="B8" i="2"/>
  <c r="B6" i="2"/>
  <c r="B10" i="2" l="1"/>
  <c r="B12" i="2" s="1"/>
  <c r="D5" i="2"/>
  <c r="C6" i="2"/>
  <c r="C10" i="2" s="1"/>
  <c r="B13" i="3" l="1"/>
  <c r="C13" i="3" s="1"/>
  <c r="E5" i="2"/>
  <c r="D6" i="2"/>
  <c r="D10" i="2" s="1"/>
  <c r="C12" i="2"/>
  <c r="B14" i="3"/>
  <c r="C14" i="3" l="1"/>
  <c r="D12" i="2"/>
  <c r="B15" i="3"/>
  <c r="F5" i="2"/>
  <c r="E6" i="2"/>
  <c r="E10" i="2" s="1"/>
  <c r="C15" i="3" l="1"/>
  <c r="E12" i="2"/>
  <c r="B16" i="3"/>
  <c r="F6" i="2"/>
  <c r="F10" i="2" s="1"/>
  <c r="G5" i="2"/>
  <c r="G6" i="2" s="1"/>
  <c r="G10" i="2" s="1"/>
  <c r="C16" i="3" l="1"/>
  <c r="B16" i="2"/>
  <c r="B23" i="3" s="1"/>
  <c r="F12" i="2"/>
  <c r="B17" i="3"/>
  <c r="G12" i="2"/>
  <c r="B18" i="3"/>
  <c r="C17" i="3" l="1"/>
  <c r="C18" i="3" s="1"/>
  <c r="B15" i="2"/>
  <c r="B22" i="3" s="1"/>
  <c r="B20" i="3" l="1" a="1"/>
  <c r="B20" i="3" s="1"/>
  <c r="B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Capstone</author>
  </authors>
  <commentList>
    <comment ref="B2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Supuesto base del curso (edite si usa una fuente externa).</t>
        </r>
      </text>
    </comment>
    <comment ref="B2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Supuesto base del curso (edite si usa una fuente externa).</t>
        </r>
      </text>
    </comment>
    <comment ref="B3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Supuesto base del curso (edite si usa una fuente externa).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<sst xmlns="http://schemas.openxmlformats.org/spreadsheetml/2006/main" count="132" uniqueCount="95">
  <si>
    <t>Capstone – Proyecto 1 (5G FWA Rural) | Modelo financiero base</t>
  </si>
  <si>
    <t>Celdas azules = entradas (editables). Celdas negras = fórmulas.</t>
  </si>
  <si>
    <t>A. Escenario (uniforme)</t>
  </si>
  <si>
    <t>Ancho</t>
  </si>
  <si>
    <t>km</t>
  </si>
  <si>
    <t/>
  </si>
  <si>
    <t>Alto</t>
  </si>
  <si>
    <t>Área</t>
  </si>
  <si>
    <t>km²</t>
  </si>
  <si>
    <t>Derivado</t>
  </si>
  <si>
    <t>Hogares totales</t>
  </si>
  <si>
    <t>hogares</t>
  </si>
  <si>
    <t>Penetración inicial</t>
  </si>
  <si>
    <t>Suscriptores iniciales</t>
  </si>
  <si>
    <t>subs</t>
  </si>
  <si>
    <t>B. Tráfico (BH) y QoS</t>
  </si>
  <si>
    <t>Throughput objetivo por suscriptor</t>
  </si>
  <si>
    <t>Mbps</t>
  </si>
  <si>
    <t>Concurrencia hora pico (BH)</t>
  </si>
  <si>
    <t>Demanda agregada BH</t>
  </si>
  <si>
    <t>Subs iniciales * Mbps * concurrencia</t>
  </si>
  <si>
    <t>C. Resultados técnicos (copiar desde notebook)</t>
  </si>
  <si>
    <t>Sitios desplegados (S)</t>
  </si>
  <si>
    <t>sites</t>
  </si>
  <si>
    <t>Ingrese el S final de su plan</t>
  </si>
  <si>
    <t>Cobertura poblacional (fracción)</t>
  </si>
  <si>
    <t>pop_covered_frac (notebook)</t>
  </si>
  <si>
    <t>Fracción satisfecha capacidad (BH)</t>
  </si>
  <si>
    <t>capacity_satisfied_frac (notebook)</t>
  </si>
  <si>
    <t>Suscriptores efectivamente servidos</t>
  </si>
  <si>
    <t>Aprox. subs iniciales * fracción satisfecha</t>
  </si>
  <si>
    <t>D. Economía (supuestos base)</t>
  </si>
  <si>
    <t>ARPU (Average Revenue Per User)</t>
  </si>
  <si>
    <t>USD/mes</t>
  </si>
  <si>
    <t>Crecimiento anual de suscriptores</t>
  </si>
  <si>
    <t>Costo instalación por suscriptor</t>
  </si>
  <si>
    <t>USD</t>
  </si>
  <si>
    <t>CAPEX por sitio (radio)</t>
  </si>
  <si>
    <t>CAPEX backhaul por sitio</t>
  </si>
  <si>
    <t>CAPEX adicional si 3 sectores</t>
  </si>
  <si>
    <t>Sitios con 3 sectores (fracción)</t>
  </si>
  <si>
    <t>1.0 = todos 3 sectores</t>
  </si>
  <si>
    <t>OPEX anual por sitio (radio)</t>
  </si>
  <si>
    <t>USD/año</t>
  </si>
  <si>
    <t>OPEX anual backhaul por sitio</t>
  </si>
  <si>
    <t>Tasa de descuento</t>
  </si>
  <si>
    <t>Horizonte de análisis</t>
  </si>
  <si>
    <t>años</t>
  </si>
  <si>
    <t>Proyección financiera (USD)</t>
  </si>
  <si>
    <t>Concepto</t>
  </si>
  <si>
    <t>Año 0</t>
  </si>
  <si>
    <t>Año 1</t>
  </si>
  <si>
    <t>Año 2</t>
  </si>
  <si>
    <t>Año 3</t>
  </si>
  <si>
    <t>Año 4</t>
  </si>
  <si>
    <t>Año 5</t>
  </si>
  <si>
    <t>Suscriptores servidos (fin de año)</t>
  </si>
  <si>
    <t>Ingresos (ARPU*12)</t>
  </si>
  <si>
    <t>CAPEX sitios (radio + backhaul + sectores)</t>
  </si>
  <si>
    <t>CAPEX instalación suscriptores (solo Año 0)</t>
  </si>
  <si>
    <t>OPEX anual (sitios + backhaul)</t>
  </si>
  <si>
    <t>Flujo de caja neto</t>
  </si>
  <si>
    <t>Factor descuento</t>
  </si>
  <si>
    <t>Flujo descontado</t>
  </si>
  <si>
    <t>KPIs</t>
  </si>
  <si>
    <t>NPV (USD)</t>
  </si>
  <si>
    <t>ROI simple (5 años)</t>
  </si>
  <si>
    <t>Payback (año)</t>
  </si>
  <si>
    <t>Resultados técnicos + Payback</t>
  </si>
  <si>
    <t>A. Registro técnico (opcional)</t>
  </si>
  <si>
    <t>Sitios desplegados</t>
  </si>
  <si>
    <t>Cobertura poblacional</t>
  </si>
  <si>
    <t>Fracción satisfecha BH</t>
  </si>
  <si>
    <t>SINR promedio (dB)</t>
  </si>
  <si>
    <t>SINR p05 (dB)</t>
  </si>
  <si>
    <t>SE promedio (bps/Hz)</t>
  </si>
  <si>
    <t>B. Payback (acumulado)</t>
  </si>
  <si>
    <t>Año</t>
  </si>
  <si>
    <t>Flujo neto</t>
  </si>
  <si>
    <t>Acumulado</t>
  </si>
  <si>
    <t>Sensibilidad (manual)</t>
  </si>
  <si>
    <t>A. Rangos sugeridos (copie a Inputs y observe NPV)</t>
  </si>
  <si>
    <t>Variable</t>
  </si>
  <si>
    <t>Bajo</t>
  </si>
  <si>
    <t>Base (link)</t>
  </si>
  <si>
    <t>Nota</t>
  </si>
  <si>
    <t>ARPU (USD/mes)</t>
  </si>
  <si>
    <t>Inputs!$B$25</t>
  </si>
  <si>
    <t>Edite Inputs (azul), luego lea NPV en Economics/Results.</t>
  </si>
  <si>
    <t>Crecimiento anual subs</t>
  </si>
  <si>
    <t>Inputs!$B$26</t>
  </si>
  <si>
    <t>CAPEX por sitio (USD)</t>
  </si>
  <si>
    <t>Inputs!$B$28</t>
  </si>
  <si>
    <t>OPEX por sitio/año (USD)</t>
  </si>
  <si>
    <t>Inputs!$B$32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</si>
</sst>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;&quot;-&quot;"/>
    <numFmt numFmtId="165" formatCode="0.0%"/>
    <numFmt numFmtId="166" formatCode="0.0\ &quot;Mbps&quot;"/>
    <numFmt numFmtId="167" formatCode="\$#,##0;[Red]\(\$#,##0\);&quot;-&quot;"/>
    <numFmt numFmtId="168" formatCode="0.000"/>
    <numFmt numFmtId="169" formatCode="0.00\ &quot;bps/Hz&quot;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6" fontId="0" fillId="0" borderId="1" xfId="0" applyNumberFormat="1" applyBorder="1"/>
    <xf numFmtId="0" fontId="6" fillId="0" borderId="1" xfId="0" applyFont="1" applyBorder="1"/>
    <xf numFmtId="167" fontId="0" fillId="0" borderId="1" xfId="0" applyNumberFormat="1" applyBorder="1"/>
    <xf numFmtId="168" fontId="0" fillId="0" borderId="1" xfId="0" applyNumberFormat="1" applyBorder="1"/>
    <xf numFmtId="165" fontId="0" fillId="0" borderId="1" xfId="0" applyNumberFormat="1" applyBorder="1"/>
    <xf numFmtId="169" fontId="5" fillId="0" borderId="1" xfId="0" applyNumberFormat="1" applyFont="1" applyBorder="1"/>
    <xf numFmtId="0" fontId="4" fillId="3" borderId="1" xfId="0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7" fontId="5" fillId="3" borderId="1" xfId="0" applyNumberFormat="1" applyFont="1" applyFill="1" applyBorder="1"/>
    <xf numFmtId="0" fontId="4" fillId="4" borderId="0" xfId="0" applyFont="1" applyFill="1"/>
    <xf numFmtId="0" fontId="0" fillId="4" borderId="1" xfId="0" applyFill="1" applyBorder="1" applyAlignment="1">
      <alignment wrapText="1"/>
    </xf>
    <xf numFmtId="0" fontId="0" fillId="4" borderId="0" xfId="0" applyFill="1"/>
    <xf numFmtId="0" fontId="4" fillId="4" borderId="1" xfId="0" applyFont="1" applyFill="1" applyBorder="1"/>
    <xf numFmtId="167" fontId="0" fillId="4" borderId="1" xfId="0" applyNumberFormat="1" applyFill="1" applyBorder="1"/>
    <xf numFmtId="165" fontId="0" fillId="4" borderId="1" xfId="0" applyNumberForma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3230880</xdr:colOff>
      <xdr:row>38</xdr:row>
      <xdr:rowOff>160020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4B350B0B-A9A2-E659-2E5D-4651A7E29F6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3230880</xdr:colOff>
      <xdr:row>38</xdr:row>
      <xdr:rowOff>160020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059A1422-4B83-0716-86C1-B29C259391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3230880</xdr:colOff>
      <xdr:row>38</xdr:row>
      <xdr:rowOff>160020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2656A5E9-2A49-24B0-D285-D40E9898B8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8012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3381375</xdr:colOff>
      <xdr:row>37</xdr:row>
      <xdr:rowOff>95250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E5F5DE40-5556-0CF3-7923-8A509CEE12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82025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3230880</xdr:colOff>
      <xdr:row>38</xdr:row>
      <xdr:rowOff>129540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C9AB1C43-9E43-9DAD-836A-94539E96BD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58012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opLeftCell="A15" zoomScaleNormal="100" workbookViewId="0">
      <selection activeCell="B11" sqref="B11"/>
    </sheetView>
  </sheetViews>
  <sheetFormatPr defaultColWidth="8.88671875" defaultRowHeight="14.4" x14ac:dyDescent="0.3"/>
  <cols>
    <col min="1" max="1" width="34" customWidth="1"/>
    <col min="2" max="2" width="22.44140625" customWidth="1"/>
    <col min="3" max="3" width="21.5546875" customWidth="1"/>
    <col min="4" max="4" width="60" customWidth="1"/>
    <col min="5" max="6" width="14" customWidth="1"/>
  </cols>
  <sheetData>
    <row r="1" spans="1:6" ht="25.95" customHeight="1" x14ac:dyDescent="0.3">
      <c r="A1" s="27" t="s">
        <v>0</v>
      </c>
      <c r="B1" s="28"/>
      <c r="C1" s="28"/>
      <c r="D1" s="28"/>
      <c r="E1" s="28"/>
      <c r="F1" s="28"/>
    </row>
    <row r="3" spans="1:6" x14ac:dyDescent="0.3">
      <c r="A3" s="30" t="s">
        <v>1</v>
      </c>
      <c r="B3" s="28"/>
      <c r="C3" s="28"/>
      <c r="D3" s="28"/>
      <c r="E3" s="28"/>
      <c r="F3" s="28"/>
    </row>
    <row r="5" spans="1:6" ht="22.2" customHeight="1" x14ac:dyDescent="0.3">
      <c r="A5" s="29" t="s">
        <v>2</v>
      </c>
      <c r="B5" s="28"/>
      <c r="C5" s="28"/>
      <c r="D5" s="28"/>
      <c r="E5" s="28"/>
      <c r="F5" s="28"/>
    </row>
    <row r="6" spans="1:6" x14ac:dyDescent="0.3">
      <c r="A6" s="2" t="s">
        <v>3</v>
      </c>
      <c r="B6" s="3">
        <v>20</v>
      </c>
      <c r="C6" s="4" t="s">
        <v>4</v>
      </c>
      <c r="D6" s="5" t="s">
        <v>5</v>
      </c>
      <c r="E6" s="6"/>
      <c r="F6" s="6"/>
    </row>
    <row r="7" spans="1:6" x14ac:dyDescent="0.3">
      <c r="A7" s="2" t="s">
        <v>6</v>
      </c>
      <c r="B7" s="3">
        <v>10</v>
      </c>
      <c r="C7" s="4" t="s">
        <v>4</v>
      </c>
      <c r="D7" s="5" t="s">
        <v>5</v>
      </c>
      <c r="E7" s="6"/>
      <c r="F7" s="6"/>
    </row>
    <row r="8" spans="1:6" x14ac:dyDescent="0.3">
      <c r="A8" s="2" t="s">
        <v>7</v>
      </c>
      <c r="B8" s="7">
        <f>B6*B7</f>
        <v>200</v>
      </c>
      <c r="C8" s="4" t="s">
        <v>8</v>
      </c>
      <c r="D8" s="5" t="s">
        <v>9</v>
      </c>
      <c r="E8" s="6"/>
      <c r="F8" s="6"/>
    </row>
    <row r="9" spans="1:6" x14ac:dyDescent="0.3">
      <c r="A9" s="2" t="s">
        <v>10</v>
      </c>
      <c r="B9" s="8">
        <v>2400</v>
      </c>
      <c r="C9" s="4" t="s">
        <v>11</v>
      </c>
      <c r="D9" s="5" t="s">
        <v>5</v>
      </c>
      <c r="E9" s="6"/>
      <c r="F9" s="6"/>
    </row>
    <row r="10" spans="1:6" x14ac:dyDescent="0.3">
      <c r="A10" s="2" t="s">
        <v>12</v>
      </c>
      <c r="B10" s="9">
        <v>0.3</v>
      </c>
      <c r="C10" s="4" t="s">
        <v>5</v>
      </c>
      <c r="D10" s="5" t="s">
        <v>5</v>
      </c>
      <c r="E10" s="6"/>
      <c r="F10" s="6"/>
    </row>
    <row r="11" spans="1:6" x14ac:dyDescent="0.3">
      <c r="A11" s="2" t="s">
        <v>13</v>
      </c>
      <c r="B11" s="7">
        <f>B9*B10</f>
        <v>720</v>
      </c>
      <c r="C11" s="4" t="s">
        <v>14</v>
      </c>
      <c r="D11" s="5" t="s">
        <v>9</v>
      </c>
      <c r="E11" s="6"/>
      <c r="F11" s="6"/>
    </row>
    <row r="13" spans="1:6" ht="22.2" customHeight="1" x14ac:dyDescent="0.3">
      <c r="A13" s="29" t="s">
        <v>15</v>
      </c>
      <c r="B13" s="28"/>
      <c r="C13" s="28"/>
      <c r="D13" s="28"/>
      <c r="E13" s="28"/>
      <c r="F13" s="28"/>
    </row>
    <row r="14" spans="1:6" x14ac:dyDescent="0.3">
      <c r="A14" s="2" t="s">
        <v>16</v>
      </c>
      <c r="B14" s="10">
        <v>20</v>
      </c>
      <c r="C14" s="4" t="s">
        <v>17</v>
      </c>
      <c r="D14" s="5" t="s">
        <v>5</v>
      </c>
      <c r="E14" s="6"/>
      <c r="F14" s="6"/>
    </row>
    <row r="15" spans="1:6" x14ac:dyDescent="0.3">
      <c r="A15" s="2" t="s">
        <v>18</v>
      </c>
      <c r="B15" s="9">
        <v>0.2</v>
      </c>
      <c r="C15" s="4" t="s">
        <v>5</v>
      </c>
      <c r="D15" s="5" t="s">
        <v>5</v>
      </c>
      <c r="E15" s="6"/>
      <c r="F15" s="6"/>
    </row>
    <row r="16" spans="1:6" x14ac:dyDescent="0.3">
      <c r="A16" s="2" t="s">
        <v>19</v>
      </c>
      <c r="B16" s="11">
        <f>B11*B14*B15</f>
        <v>2880</v>
      </c>
      <c r="C16" s="4" t="s">
        <v>17</v>
      </c>
      <c r="D16" s="5" t="s">
        <v>20</v>
      </c>
      <c r="E16" s="6"/>
      <c r="F16" s="6"/>
    </row>
    <row r="18" spans="1:6" ht="22.2" customHeight="1" x14ac:dyDescent="0.3">
      <c r="A18" s="29" t="s">
        <v>21</v>
      </c>
      <c r="B18" s="28"/>
      <c r="C18" s="28"/>
      <c r="D18" s="28"/>
      <c r="E18" s="28"/>
      <c r="F18" s="28"/>
    </row>
    <row r="19" spans="1:6" x14ac:dyDescent="0.3">
      <c r="A19" s="17" t="s">
        <v>22</v>
      </c>
      <c r="B19" s="18">
        <v>8</v>
      </c>
      <c r="C19" s="4" t="s">
        <v>23</v>
      </c>
      <c r="D19" s="5" t="s">
        <v>24</v>
      </c>
      <c r="E19" s="6"/>
      <c r="F19" s="6"/>
    </row>
    <row r="20" spans="1:6" x14ac:dyDescent="0.3">
      <c r="A20" s="17" t="s">
        <v>25</v>
      </c>
      <c r="B20" s="19">
        <v>0.956666666666667</v>
      </c>
      <c r="C20" s="4" t="s">
        <v>5</v>
      </c>
      <c r="D20" s="5" t="s">
        <v>26</v>
      </c>
      <c r="E20" s="6"/>
      <c r="F20" s="6"/>
    </row>
    <row r="21" spans="1:6" x14ac:dyDescent="0.3">
      <c r="A21" s="17" t="s">
        <v>27</v>
      </c>
      <c r="B21" s="19">
        <v>0.98416666666666697</v>
      </c>
      <c r="C21" s="4" t="s">
        <v>5</v>
      </c>
      <c r="D21" s="5" t="s">
        <v>28</v>
      </c>
      <c r="E21" s="6"/>
      <c r="F21" s="6"/>
    </row>
    <row r="22" spans="1:6" x14ac:dyDescent="0.3">
      <c r="A22" s="2" t="s">
        <v>29</v>
      </c>
      <c r="B22" s="7">
        <f>B11*B21</f>
        <v>708.60000000000025</v>
      </c>
      <c r="C22" s="4" t="s">
        <v>14</v>
      </c>
      <c r="D22" s="5" t="s">
        <v>30</v>
      </c>
      <c r="E22" s="6"/>
      <c r="F22" s="6"/>
    </row>
    <row r="24" spans="1:6" ht="22.2" customHeight="1" x14ac:dyDescent="0.3">
      <c r="A24" s="29" t="s">
        <v>31</v>
      </c>
      <c r="B24" s="28"/>
      <c r="C24" s="28"/>
      <c r="D24" s="28"/>
      <c r="E24" s="28"/>
      <c r="F24" s="28"/>
    </row>
    <row r="25" spans="1:6" x14ac:dyDescent="0.3">
      <c r="A25" s="2" t="s">
        <v>32</v>
      </c>
      <c r="B25" s="20">
        <v>12</v>
      </c>
      <c r="C25" s="4" t="s">
        <v>33</v>
      </c>
      <c r="D25" s="5" t="s">
        <v>5</v>
      </c>
      <c r="E25" s="6"/>
      <c r="F25" s="6"/>
    </row>
    <row r="26" spans="1:6" x14ac:dyDescent="0.3">
      <c r="A26" s="2" t="s">
        <v>34</v>
      </c>
      <c r="B26" s="19">
        <v>0.15</v>
      </c>
      <c r="C26" s="4" t="s">
        <v>5</v>
      </c>
      <c r="D26" s="5" t="s">
        <v>5</v>
      </c>
      <c r="E26" s="6"/>
      <c r="F26" s="6"/>
    </row>
    <row r="27" spans="1:6" x14ac:dyDescent="0.3">
      <c r="A27" s="2" t="s">
        <v>35</v>
      </c>
      <c r="B27" s="20">
        <v>120</v>
      </c>
      <c r="C27" s="4" t="s">
        <v>36</v>
      </c>
      <c r="D27" s="5" t="s">
        <v>5</v>
      </c>
      <c r="E27" s="6"/>
      <c r="F27" s="6"/>
    </row>
    <row r="28" spans="1:6" x14ac:dyDescent="0.3">
      <c r="A28" s="2" t="s">
        <v>37</v>
      </c>
      <c r="B28" s="20">
        <v>65000</v>
      </c>
      <c r="C28" s="4" t="s">
        <v>36</v>
      </c>
      <c r="D28" s="5" t="s">
        <v>5</v>
      </c>
      <c r="E28" s="6"/>
      <c r="F28" s="6"/>
    </row>
    <row r="29" spans="1:6" x14ac:dyDescent="0.3">
      <c r="A29" s="2" t="s">
        <v>38</v>
      </c>
      <c r="B29" s="20">
        <v>12000</v>
      </c>
      <c r="C29" s="4" t="s">
        <v>36</v>
      </c>
      <c r="D29" s="5" t="s">
        <v>5</v>
      </c>
      <c r="E29" s="6"/>
      <c r="F29" s="6"/>
    </row>
    <row r="30" spans="1:6" x14ac:dyDescent="0.3">
      <c r="A30" s="2" t="s">
        <v>39</v>
      </c>
      <c r="B30" s="20">
        <v>18000</v>
      </c>
      <c r="C30" s="4" t="s">
        <v>36</v>
      </c>
      <c r="D30" s="5" t="s">
        <v>5</v>
      </c>
      <c r="E30" s="6"/>
      <c r="F30" s="6"/>
    </row>
    <row r="31" spans="1:6" x14ac:dyDescent="0.3">
      <c r="A31" s="2" t="s">
        <v>40</v>
      </c>
      <c r="B31" s="19">
        <v>1</v>
      </c>
      <c r="C31" s="4" t="s">
        <v>5</v>
      </c>
      <c r="D31" s="5" t="s">
        <v>41</v>
      </c>
      <c r="E31" s="6"/>
      <c r="F31" s="6"/>
    </row>
    <row r="32" spans="1:6" x14ac:dyDescent="0.3">
      <c r="A32" s="2" t="s">
        <v>42</v>
      </c>
      <c r="B32" s="20">
        <v>11000</v>
      </c>
      <c r="C32" s="4" t="s">
        <v>43</v>
      </c>
      <c r="D32" s="5" t="s">
        <v>5</v>
      </c>
      <c r="E32" s="6"/>
      <c r="F32" s="6"/>
    </row>
    <row r="33" spans="1:6" x14ac:dyDescent="0.3">
      <c r="A33" s="2" t="s">
        <v>44</v>
      </c>
      <c r="B33" s="20">
        <v>3500</v>
      </c>
      <c r="C33" s="4" t="s">
        <v>43</v>
      </c>
      <c r="D33" s="5" t="s">
        <v>5</v>
      </c>
      <c r="E33" s="6"/>
      <c r="F33" s="6"/>
    </row>
    <row r="34" spans="1:6" x14ac:dyDescent="0.3">
      <c r="A34" s="2" t="s">
        <v>45</v>
      </c>
      <c r="B34" s="9">
        <v>0.1</v>
      </c>
      <c r="C34" s="4" t="s">
        <v>5</v>
      </c>
      <c r="D34" s="5" t="s">
        <v>5</v>
      </c>
      <c r="E34" s="6"/>
      <c r="F34" s="6"/>
    </row>
    <row r="35" spans="1:6" x14ac:dyDescent="0.3">
      <c r="A35" s="2" t="s">
        <v>46</v>
      </c>
      <c r="B35" s="8">
        <v>5</v>
      </c>
      <c r="C35" s="4" t="s">
        <v>47</v>
      </c>
      <c r="D35" s="5" t="s">
        <v>5</v>
      </c>
      <c r="E35" s="6"/>
      <c r="F35" s="6"/>
    </row>
  </sheetData>
  <mergeCells count="6">
    <mergeCell ref="A24:F24"/>
    <mergeCell ref="A13:F13"/>
    <mergeCell ref="A1:F1"/>
    <mergeCell ref="A5:F5"/>
    <mergeCell ref="A18:F18"/>
    <mergeCell ref="A3:F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>
      <selection activeCell="B21" sqref="B21"/>
    </sheetView>
  </sheetViews>
  <sheetFormatPr defaultColWidth="8.88671875" defaultRowHeight="14.4" x14ac:dyDescent="0.3"/>
  <cols>
    <col min="1" max="1" width="41.109375" customWidth="1"/>
    <col min="2" max="7" width="14" customWidth="1"/>
  </cols>
  <sheetData>
    <row r="1" spans="1:7" ht="18" x14ac:dyDescent="0.3">
      <c r="A1" s="27" t="s">
        <v>48</v>
      </c>
      <c r="B1" s="28"/>
      <c r="C1" s="28"/>
      <c r="D1" s="28"/>
      <c r="E1" s="28"/>
      <c r="F1" s="28"/>
      <c r="G1" s="28"/>
    </row>
    <row r="3" spans="1:7" x14ac:dyDescent="0.3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</row>
    <row r="5" spans="1:7" x14ac:dyDescent="0.3">
      <c r="A5" s="12" t="s">
        <v>56</v>
      </c>
      <c r="B5" s="7">
        <f>Inputs!$B$22</f>
        <v>708.60000000000025</v>
      </c>
      <c r="C5" s="7">
        <f>B5*(1+Inputs!$B$26)</f>
        <v>814.89000000000021</v>
      </c>
      <c r="D5" s="7">
        <f>C5*(1+Inputs!$B$26)</f>
        <v>937.12350000000015</v>
      </c>
      <c r="E5" s="7">
        <f>D5*(1+Inputs!$B$26)</f>
        <v>1077.6920250000001</v>
      </c>
      <c r="F5" s="7">
        <f>E5*(1+Inputs!$B$26)</f>
        <v>1239.34582875</v>
      </c>
      <c r="G5" s="7">
        <f>F5*(1+Inputs!$B$26)</f>
        <v>1425.2477030624998</v>
      </c>
    </row>
    <row r="6" spans="1:7" x14ac:dyDescent="0.3">
      <c r="A6" s="12" t="s">
        <v>57</v>
      </c>
      <c r="B6" s="13">
        <f>B5*Inputs!$B$25*12</f>
        <v>102038.40000000002</v>
      </c>
      <c r="C6" s="13">
        <f>C5*Inputs!$B$25*12</f>
        <v>117344.16000000003</v>
      </c>
      <c r="D6" s="13">
        <f>D5*Inputs!$B$25*12</f>
        <v>134945.78400000001</v>
      </c>
      <c r="E6" s="13">
        <f>E5*Inputs!$B$25*12</f>
        <v>155187.65159999998</v>
      </c>
      <c r="F6" s="13">
        <f>F5*Inputs!$B$25*12</f>
        <v>178465.79934000003</v>
      </c>
      <c r="G6" s="13">
        <f>G5*Inputs!$B$25*12</f>
        <v>205235.66924099997</v>
      </c>
    </row>
    <row r="7" spans="1:7" x14ac:dyDescent="0.3">
      <c r="A7" s="12" t="s">
        <v>58</v>
      </c>
      <c r="B7" s="13">
        <f>+Inputs!B19*(Inputs!B28+Inputs!B29+Inputs!B30)</f>
        <v>760000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3">
      <c r="A8" s="12" t="s">
        <v>59</v>
      </c>
      <c r="B8" s="13">
        <f>IF(0=0,B5*Inputs!$B$27,0)</f>
        <v>85032.000000000029</v>
      </c>
      <c r="C8" s="13">
        <f>IF(1=0,C5*Inputs!$B$27,0)</f>
        <v>0</v>
      </c>
      <c r="D8" s="13">
        <f>IF(2=0,D5*Inputs!$B$27,0)</f>
        <v>0</v>
      </c>
      <c r="E8" s="13">
        <f>IF(3=0,E5*Inputs!$B$27,0)</f>
        <v>0</v>
      </c>
      <c r="F8" s="13">
        <f>IF(4=0,F5*Inputs!$B$27,0)</f>
        <v>0</v>
      </c>
      <c r="G8" s="13">
        <f>IF(5=0,G5*Inputs!$B$27,0)</f>
        <v>0</v>
      </c>
    </row>
    <row r="9" spans="1:7" x14ac:dyDescent="0.3">
      <c r="A9" s="12" t="s">
        <v>60</v>
      </c>
      <c r="B9" s="13">
        <v>0</v>
      </c>
      <c r="C9" s="13">
        <f>+Inputs!$B$19*(Inputs!$B$32+Inputs!$B$33)</f>
        <v>116000</v>
      </c>
      <c r="D9" s="13">
        <f>+Inputs!$B$19*(Inputs!$B$32+Inputs!$B$33)</f>
        <v>116000</v>
      </c>
      <c r="E9" s="13">
        <f>+Inputs!$B$19*(Inputs!$B$32+Inputs!$B$33)</f>
        <v>116000</v>
      </c>
      <c r="F9" s="13">
        <f>+Inputs!$B$19*(Inputs!$B$32+Inputs!$B$33)</f>
        <v>116000</v>
      </c>
      <c r="G9" s="13">
        <f>+Inputs!$B$19*(Inputs!$B$32+Inputs!$B$33)</f>
        <v>116000</v>
      </c>
    </row>
    <row r="10" spans="1:7" x14ac:dyDescent="0.3">
      <c r="A10" s="2" t="s">
        <v>61</v>
      </c>
      <c r="B10" s="13">
        <f t="shared" ref="B10:G10" si="0">B6-B7-B8-B9</f>
        <v>-742993.6</v>
      </c>
      <c r="C10" s="13">
        <f t="shared" si="0"/>
        <v>1344.1600000000326</v>
      </c>
      <c r="D10" s="13">
        <f t="shared" si="0"/>
        <v>18945.784000000014</v>
      </c>
      <c r="E10" s="13">
        <f t="shared" si="0"/>
        <v>39187.651599999983</v>
      </c>
      <c r="F10" s="13">
        <f t="shared" si="0"/>
        <v>62465.799340000027</v>
      </c>
      <c r="G10" s="13">
        <f t="shared" si="0"/>
        <v>89235.669240999967</v>
      </c>
    </row>
    <row r="11" spans="1:7" x14ac:dyDescent="0.3">
      <c r="A11" s="12" t="s">
        <v>62</v>
      </c>
      <c r="B11" s="14">
        <f>1/(1+Inputs!$B$34)^0</f>
        <v>1</v>
      </c>
      <c r="C11" s="14">
        <f>1/(1+Inputs!$B$34)^1</f>
        <v>0.90909090909090906</v>
      </c>
      <c r="D11" s="14">
        <f>1/(1+Inputs!$B$34)^2</f>
        <v>0.82644628099173545</v>
      </c>
      <c r="E11" s="14">
        <f>1/(1+Inputs!$B$34)^3</f>
        <v>0.75131480090157754</v>
      </c>
      <c r="F11" s="14">
        <f>1/(1+Inputs!$B$34)^4</f>
        <v>0.68301345536507052</v>
      </c>
      <c r="G11" s="14">
        <f>1/(1+Inputs!$B$34)^5</f>
        <v>0.62092132305915493</v>
      </c>
    </row>
    <row r="12" spans="1:7" x14ac:dyDescent="0.3">
      <c r="A12" s="2" t="s">
        <v>63</v>
      </c>
      <c r="B12" s="13">
        <f t="shared" ref="B12:G12" si="1">B10*B11</f>
        <v>-742993.6</v>
      </c>
      <c r="C12" s="13">
        <f t="shared" si="1"/>
        <v>1221.963636363666</v>
      </c>
      <c r="D12" s="13">
        <f t="shared" si="1"/>
        <v>15657.672727272737</v>
      </c>
      <c r="E12" s="13">
        <f t="shared" si="1"/>
        <v>29442.262659654374</v>
      </c>
      <c r="F12" s="13">
        <f t="shared" si="1"/>
        <v>42664.981449354556</v>
      </c>
      <c r="G12" s="13">
        <f t="shared" si="1"/>
        <v>55408.329809190836</v>
      </c>
    </row>
    <row r="14" spans="1:7" ht="22.2" customHeight="1" x14ac:dyDescent="0.3">
      <c r="A14" s="29" t="s">
        <v>64</v>
      </c>
      <c r="B14" s="28"/>
      <c r="C14" s="28"/>
    </row>
    <row r="15" spans="1:7" x14ac:dyDescent="0.3">
      <c r="A15" s="2" t="s">
        <v>65</v>
      </c>
      <c r="B15" s="13">
        <f>SUM(B12:G12)</f>
        <v>-598598.38971816387</v>
      </c>
    </row>
    <row r="16" spans="1:7" x14ac:dyDescent="0.3">
      <c r="A16" s="2" t="s">
        <v>66</v>
      </c>
      <c r="B16" s="15">
        <f>IF(B7+B8=0,0,SUM(C10:G10)/(B7+B8))</f>
        <v>0.24990658836706778</v>
      </c>
    </row>
    <row r="17" spans="1:2" x14ac:dyDescent="0.3">
      <c r="A17" s="2" t="s">
        <v>67</v>
      </c>
      <c r="B17" s="7" t="str">
        <f>Results!B20</f>
        <v>No hay Payback</v>
      </c>
    </row>
  </sheetData>
  <mergeCells count="2">
    <mergeCell ref="A14:C14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tabSelected="1" topLeftCell="A2" workbookViewId="0">
      <selection activeCell="C19" sqref="C19"/>
    </sheetView>
  </sheetViews>
  <sheetFormatPr defaultColWidth="8.88671875" defaultRowHeight="14.4" x14ac:dyDescent="0.3"/>
  <cols>
    <col min="1" max="1" width="36" customWidth="1"/>
    <col min="2" max="2" width="18" customWidth="1"/>
    <col min="3" max="3" width="12" customWidth="1"/>
    <col min="4" max="4" width="56" customWidth="1"/>
  </cols>
  <sheetData>
    <row r="1" spans="1:4" ht="18" x14ac:dyDescent="0.3">
      <c r="A1" s="27" t="s">
        <v>68</v>
      </c>
      <c r="B1" s="28"/>
      <c r="C1" s="28"/>
      <c r="D1" s="28"/>
    </row>
    <row r="3" spans="1:4" ht="22.2" customHeight="1" x14ac:dyDescent="0.3">
      <c r="A3" s="29" t="s">
        <v>69</v>
      </c>
      <c r="B3" s="28"/>
      <c r="C3" s="28"/>
      <c r="D3" s="28"/>
    </row>
    <row r="4" spans="1:4" x14ac:dyDescent="0.3">
      <c r="A4" s="2" t="s">
        <v>70</v>
      </c>
      <c r="B4" s="7">
        <f>+Inputs!B19</f>
        <v>8</v>
      </c>
      <c r="C4" s="6"/>
      <c r="D4" s="6"/>
    </row>
    <row r="5" spans="1:4" x14ac:dyDescent="0.3">
      <c r="A5" s="2" t="s">
        <v>71</v>
      </c>
      <c r="B5" s="15">
        <f>+Inputs!B20</f>
        <v>0.956666666666667</v>
      </c>
      <c r="C5" s="6"/>
      <c r="D5" s="6"/>
    </row>
    <row r="6" spans="1:4" x14ac:dyDescent="0.3">
      <c r="A6" s="2" t="s">
        <v>72</v>
      </c>
      <c r="B6" s="15">
        <f>+Inputs!B21</f>
        <v>0.98416666666666697</v>
      </c>
      <c r="C6" s="6"/>
      <c r="D6" s="6"/>
    </row>
    <row r="7" spans="1:4" x14ac:dyDescent="0.3">
      <c r="A7" s="2" t="s">
        <v>73</v>
      </c>
      <c r="B7" s="3">
        <v>7.6366652711835696</v>
      </c>
      <c r="C7" s="6"/>
      <c r="D7" s="6"/>
    </row>
    <row r="8" spans="1:4" x14ac:dyDescent="0.3">
      <c r="A8" s="2" t="s">
        <v>74</v>
      </c>
      <c r="B8" s="3">
        <v>-5.9595922871285003</v>
      </c>
      <c r="C8" s="6"/>
      <c r="D8" s="6"/>
    </row>
    <row r="9" spans="1:4" x14ac:dyDescent="0.3">
      <c r="A9" s="2" t="s">
        <v>75</v>
      </c>
      <c r="B9" s="16">
        <v>2.7738396411438999</v>
      </c>
      <c r="C9" s="6"/>
      <c r="D9" s="6"/>
    </row>
    <row r="11" spans="1:4" ht="22.2" customHeight="1" x14ac:dyDescent="0.3">
      <c r="A11" s="29" t="s">
        <v>76</v>
      </c>
      <c r="B11" s="28"/>
      <c r="C11" s="28"/>
      <c r="D11" s="28"/>
    </row>
    <row r="12" spans="1:4" x14ac:dyDescent="0.3">
      <c r="A12" s="1" t="s">
        <v>77</v>
      </c>
      <c r="B12" s="1" t="s">
        <v>78</v>
      </c>
      <c r="C12" s="1" t="s">
        <v>79</v>
      </c>
    </row>
    <row r="13" spans="1:4" x14ac:dyDescent="0.3">
      <c r="A13" s="6">
        <v>0</v>
      </c>
      <c r="B13" s="13">
        <f>Economics!B10</f>
        <v>-742993.6</v>
      </c>
      <c r="C13" s="13">
        <f>B13</f>
        <v>-742993.6</v>
      </c>
    </row>
    <row r="14" spans="1:4" x14ac:dyDescent="0.3">
      <c r="A14" s="6">
        <v>1</v>
      </c>
      <c r="B14" s="13">
        <f>Economics!C10</f>
        <v>1344.1600000000326</v>
      </c>
      <c r="C14" s="13">
        <f>C13+B14</f>
        <v>-741649.44</v>
      </c>
    </row>
    <row r="15" spans="1:4" x14ac:dyDescent="0.3">
      <c r="A15" s="6">
        <v>2</v>
      </c>
      <c r="B15" s="13">
        <f>Economics!D10</f>
        <v>18945.784000000014</v>
      </c>
      <c r="C15" s="13">
        <f>C14+B15</f>
        <v>-722703.65599999996</v>
      </c>
    </row>
    <row r="16" spans="1:4" x14ac:dyDescent="0.3">
      <c r="A16" s="6">
        <v>3</v>
      </c>
      <c r="B16" s="13">
        <f>Economics!E10</f>
        <v>39187.651599999983</v>
      </c>
      <c r="C16" s="13">
        <f>C15+B16</f>
        <v>-683516.00439999998</v>
      </c>
    </row>
    <row r="17" spans="1:3" x14ac:dyDescent="0.3">
      <c r="A17" s="6">
        <v>4</v>
      </c>
      <c r="B17" s="13">
        <f>Economics!F10</f>
        <v>62465.799340000027</v>
      </c>
      <c r="C17" s="13">
        <f>C16+B17</f>
        <v>-621050.20505999995</v>
      </c>
    </row>
    <row r="18" spans="1:3" x14ac:dyDescent="0.3">
      <c r="A18" s="6">
        <v>5</v>
      </c>
      <c r="B18" s="13">
        <f>Economics!G10</f>
        <v>89235.669240999967</v>
      </c>
      <c r="C18" s="13">
        <f>C17+B18</f>
        <v>-531814.53581899998</v>
      </c>
    </row>
    <row r="20" spans="1:3" x14ac:dyDescent="0.3">
      <c r="A20" s="21" t="s">
        <v>67</v>
      </c>
      <c r="B20" s="22" t="str" cm="1">
        <f t="array" ref="B20">IFERROR(INDEX(A13:A18, MATCH(TRUE, C13:C18&gt;=0, 0)), "No hay Payback")</f>
        <v>No hay Payback</v>
      </c>
    </row>
    <row r="21" spans="1:3" x14ac:dyDescent="0.3">
      <c r="A21" s="23"/>
      <c r="B21" s="23"/>
    </row>
    <row r="22" spans="1:3" x14ac:dyDescent="0.3">
      <c r="A22" s="24" t="s">
        <v>65</v>
      </c>
      <c r="B22" s="25">
        <f>Economics!B15</f>
        <v>-598598.38971816387</v>
      </c>
    </row>
    <row r="23" spans="1:3" x14ac:dyDescent="0.3">
      <c r="A23" s="24" t="s">
        <v>66</v>
      </c>
      <c r="B23" s="26">
        <f>Economics!B16</f>
        <v>0.24990658836706778</v>
      </c>
    </row>
  </sheetData>
  <mergeCells count="3">
    <mergeCell ref="A1:D1"/>
    <mergeCell ref="A3:D3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>
      <selection activeCell="B8" sqref="B8"/>
    </sheetView>
  </sheetViews>
  <sheetFormatPr defaultColWidth="8.88671875" defaultRowHeight="14.4" x14ac:dyDescent="0.3"/>
  <cols>
    <col min="1" max="1" width="28" customWidth="1"/>
    <col min="2" max="4" width="18" customWidth="1"/>
    <col min="5" max="5" width="30" customWidth="1"/>
  </cols>
  <sheetData>
    <row r="1" spans="1:5" ht="18" x14ac:dyDescent="0.3">
      <c r="A1" s="27" t="s">
        <v>80</v>
      </c>
      <c r="B1" s="28"/>
      <c r="C1" s="28"/>
      <c r="D1" s="28"/>
      <c r="E1" s="28"/>
    </row>
    <row r="3" spans="1:5" ht="22.2" customHeight="1" x14ac:dyDescent="0.3">
      <c r="A3" s="29" t="s">
        <v>81</v>
      </c>
      <c r="B3" s="28"/>
      <c r="C3" s="28"/>
      <c r="D3" s="28"/>
      <c r="E3" s="28"/>
    </row>
    <row r="4" spans="1:5" x14ac:dyDescent="0.3">
      <c r="A4" s="1" t="s">
        <v>82</v>
      </c>
      <c r="B4" s="1" t="s">
        <v>83</v>
      </c>
      <c r="C4" s="1" t="s">
        <v>84</v>
      </c>
      <c r="D4" s="1" t="s">
        <v>6</v>
      </c>
      <c r="E4" s="1" t="s">
        <v>85</v>
      </c>
    </row>
    <row r="5" spans="1:5" ht="28.8" x14ac:dyDescent="0.3">
      <c r="A5" s="6" t="s">
        <v>86</v>
      </c>
      <c r="B5" s="3">
        <v>9</v>
      </c>
      <c r="C5" s="6" t="s">
        <v>87</v>
      </c>
      <c r="D5" s="3">
        <v>15</v>
      </c>
      <c r="E5" s="5" t="s">
        <v>88</v>
      </c>
    </row>
    <row r="6" spans="1:5" ht="28.8" x14ac:dyDescent="0.3">
      <c r="A6" s="6" t="s">
        <v>89</v>
      </c>
      <c r="B6" s="9">
        <v>0.03</v>
      </c>
      <c r="C6" s="6" t="s">
        <v>90</v>
      </c>
      <c r="D6" s="9">
        <v>0.15</v>
      </c>
      <c r="E6" s="5" t="s">
        <v>88</v>
      </c>
    </row>
    <row r="7" spans="1:5" ht="28.8" x14ac:dyDescent="0.3">
      <c r="A7" s="6" t="s">
        <v>91</v>
      </c>
      <c r="B7" s="3">
        <v>50000</v>
      </c>
      <c r="C7" s="6" t="s">
        <v>92</v>
      </c>
      <c r="D7" s="3">
        <v>85000</v>
      </c>
      <c r="E7" s="5" t="s">
        <v>88</v>
      </c>
    </row>
    <row r="8" spans="1:5" ht="28.8" x14ac:dyDescent="0.3">
      <c r="A8" s="6" t="s">
        <v>93</v>
      </c>
      <c r="B8" s="3">
        <v>8000</v>
      </c>
      <c r="C8" s="6" t="s">
        <v>94</v>
      </c>
      <c r="D8" s="3">
        <v>16000</v>
      </c>
      <c r="E8" s="5" t="s">
        <v>88</v>
      </c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Economics</vt:lpstr>
      <vt:lpstr>Results</vt:lpstr>
      <vt:lpstr>Sensitivity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EMANUEL BARRIOS CASTRILLON</cp:lastModifiedBy>
  <cp:revision/>
  <dcterms:created xsi:type="dcterms:W3CDTF">2026-08-06T18:07:50Z</dcterms:created>
  <dcterms:modified xsi:type="dcterms:W3CDTF">2026-10-19T04:21:00Z</dcterms:modified>
  <cp:category/>
  <cp:contentStatus/>
</cp:coreProperties>
</file>