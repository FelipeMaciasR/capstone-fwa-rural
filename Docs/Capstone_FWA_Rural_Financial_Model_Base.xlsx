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puts" sheetId="1" state="visible" r:id="rId3"/>
    <sheet name="Economics" sheetId="2" state="visible" r:id="rId4"/>
    <sheet name="Results" sheetId="3" state="visible" r:id="rId5"/>
    <sheet name="Sensitiv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Arial"/>
            <family val="2"/>
          </rPr>
          <t xml:space="preserve">Supuesto base del curso (edite si usa una fuente externa).</t>
        </r>
      </text>
    </comment>
    <comment ref="B28" authorId="0">
      <text>
        <r>
          <rPr>
            <sz val="10"/>
            <rFont val="Arial"/>
            <family val="2"/>
          </rPr>
          <t xml:space="preserve">Supuesto base del curso (edite si usa una fuente externa).</t>
        </r>
      </text>
    </comment>
    <comment ref="B32" authorId="0">
      <text>
        <r>
          <rPr>
            <sz val="10"/>
            <rFont val="Arial"/>
            <family val="2"/>
          </rPr>
          <t xml:space="preserve">Supuesto base del curso (edite si usa una fuente externa).</t>
        </r>
      </text>
    </comment>
  </commentList>
</comments>
</file>

<file path=xl/sharedStrings.xml><?xml version="1.0" encoding="utf-8"?>
<sst xmlns="http://schemas.openxmlformats.org/spreadsheetml/2006/main" count="178" uniqueCount="126">
  <si>
    <t xml:space="preserve">Capstone – Proyecto 1 (5G FWA Rural) | Modelo financiero base</t>
  </si>
  <si>
    <t xml:space="preserve">Celdas azules = entradas (editables). Celdas negras = fórmulas.</t>
  </si>
  <si>
    <t xml:space="preserve">A. Escenario (uniforme)</t>
  </si>
  <si>
    <t xml:space="preserve">Ancho</t>
  </si>
  <si>
    <t xml:space="preserve">km</t>
  </si>
  <si>
    <t xml:space="preserve">Alto</t>
  </si>
  <si>
    <t xml:space="preserve">Área</t>
  </si>
  <si>
    <t xml:space="preserve">km²</t>
  </si>
  <si>
    <t xml:space="preserve">Derivado</t>
  </si>
  <si>
    <t xml:space="preserve">Hogares totales</t>
  </si>
  <si>
    <t xml:space="preserve">hogares</t>
  </si>
  <si>
    <t xml:space="preserve">Penetración inicial</t>
  </si>
  <si>
    <t xml:space="preserve">Suscriptores iniciales</t>
  </si>
  <si>
    <t xml:space="preserve">subs</t>
  </si>
  <si>
    <t xml:space="preserve">B. Tráfico (BH) y QoS</t>
  </si>
  <si>
    <t xml:space="preserve">Throughput objetivo por suscriptor</t>
  </si>
  <si>
    <t xml:space="preserve">Mbps</t>
  </si>
  <si>
    <t xml:space="preserve">Concurrencia hora pico (BH)</t>
  </si>
  <si>
    <t xml:space="preserve">Demanda agregada BH</t>
  </si>
  <si>
    <t xml:space="preserve">Subs iniciales * Mbps * concurrencia</t>
  </si>
  <si>
    <t xml:space="preserve">C. Resultados técnicos (copiar desde notebook)</t>
  </si>
  <si>
    <t xml:space="preserve">Sitios desplegados (S)</t>
  </si>
  <si>
    <t xml:space="preserve">sites</t>
  </si>
  <si>
    <t xml:space="preserve">Ingrese el S final de su plan</t>
  </si>
  <si>
    <t xml:space="preserve">Cobertura poblacional (fracción)</t>
  </si>
  <si>
    <t xml:space="preserve">pop_covered_frac (notebook)</t>
  </si>
  <si>
    <t xml:space="preserve">Fracción satisfecha capacidad (BH)</t>
  </si>
  <si>
    <t xml:space="preserve">capacity_satisfied_frac (notebook)</t>
  </si>
  <si>
    <t xml:space="preserve">Suscriptores efectivamente servidos</t>
  </si>
  <si>
    <t xml:space="preserve">Aprox. subs iniciales * fracción satisfecha</t>
  </si>
  <si>
    <t xml:space="preserve">D. Economía (supuestos base)</t>
  </si>
  <si>
    <t xml:space="preserve">ARPU (Average Revenue Per User)</t>
  </si>
  <si>
    <t xml:space="preserve">USD/mes</t>
  </si>
  <si>
    <t xml:space="preserve">Crecimiento anual de suscriptores</t>
  </si>
  <si>
    <t xml:space="preserve">Costo instalación por suscriptor</t>
  </si>
  <si>
    <t xml:space="preserve">USD</t>
  </si>
  <si>
    <t xml:space="preserve">CAPEX por sitio (radio)</t>
  </si>
  <si>
    <t xml:space="preserve">CAPEX backhaul por sitio</t>
  </si>
  <si>
    <t xml:space="preserve">CAPEX adicional si 3 sectores</t>
  </si>
  <si>
    <t xml:space="preserve">Sitios con 3 sectores (fracción)</t>
  </si>
  <si>
    <t xml:space="preserve">1.0 = todos 3 sectores</t>
  </si>
  <si>
    <t xml:space="preserve">OPEX anual por sitio (radio)</t>
  </si>
  <si>
    <t xml:space="preserve">USD/año</t>
  </si>
  <si>
    <t xml:space="preserve">OPEX anual backhaul por sitio</t>
  </si>
  <si>
    <t xml:space="preserve">Tasa de descuento</t>
  </si>
  <si>
    <t xml:space="preserve">Horizonte de análisis</t>
  </si>
  <si>
    <t xml:space="preserve">años</t>
  </si>
  <si>
    <t xml:space="preserve">Proyección financiera (USD)</t>
  </si>
  <si>
    <t xml:space="preserve">Concepto</t>
  </si>
  <si>
    <t xml:space="preserve">Año 0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</si>
  <si>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</si>
  <si>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</si>
  <si>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</si>
  <si>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</si>
  <si>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</si>
  <si>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Suscriptores servidos (fin de año)</t>
  </si>
  <si>
    <t xml:space="preserve">Ingresos (ARPU*12)</t>
  </si>
  <si>
    <t xml:space="preserve">CAPEX sitios (radio + backhaul + sectores)</t>
  </si>
  <si>
    <t xml:space="preserve">CAPEX instalación suscriptores (solo Año 0)</t>
  </si>
  <si>
    <t xml:space="preserve">OPEX anual (sitios + backhaul)</t>
  </si>
  <si>
    <t xml:space="preserve">Flujo de caja neto</t>
  </si>
  <si>
    <t xml:space="preserve">Factor descuento</t>
  </si>
  <si>
    <t xml:space="preserve">Flujo descontado</t>
  </si>
  <si>
    <t xml:space="preserve">KPIs</t>
  </si>
  <si>
    <t xml:space="preserve">NPV (USD)</t>
  </si>
  <si>
    <t xml:space="preserve">ROI simple (5 años)</t>
  </si>
  <si>
    <t xml:space="preserve">Payback (año)</t>
  </si>
  <si>
    <t xml:space="preserve">Resultados técnicos + Payback</t>
  </si>
  <si>
    <t xml:space="preserve">A. Registro técnico (opcional)</t>
  </si>
  <si>
    <t xml:space="preserve">Sitios desplegados</t>
  </si>
  <si>
    <t xml:space="preserve">Cobertura poblacional</t>
  </si>
  <si>
    <t xml:space="preserve">Fracción satisfecha BH</t>
  </si>
  <si>
    <t xml:space="preserve">SINR promedio (dB)</t>
  </si>
  <si>
    <t xml:space="preserve">SINR p05 (dB)</t>
  </si>
  <si>
    <t xml:space="preserve">SE promedio (bps/Hz)</t>
  </si>
  <si>
    <t xml:space="preserve">B. Payback (acumulado)</t>
  </si>
  <si>
    <t xml:space="preserve">Año</t>
  </si>
  <si>
    <t xml:space="preserve">Flujo neto</t>
  </si>
  <si>
    <t xml:space="preserve">Acumulado</t>
  </si>
  <si>
    <t xml:space="preserve">Sensibilidad (manual)</t>
  </si>
  <si>
    <t xml:space="preserve">A. Rangos sugeridos (copie a Inputs y observe NPV)</t>
  </si>
  <si>
    <t xml:space="preserve">Variable</t>
  </si>
  <si>
    <t xml:space="preserve">Bajo</t>
  </si>
  <si>
    <t xml:space="preserve">Base (link)</t>
  </si>
  <si>
    <t xml:space="preserve">Nota</t>
  </si>
  <si>
    <t xml:space="preserve">VPN bajo (USD)</t>
  </si>
  <si>
    <t xml:space="preserve">VPN base (USD)</t>
  </si>
  <si>
    <t xml:space="preserve">VPN alto (USD)</t>
  </si>
  <si>
    <t xml:space="preserve">Rango VPN (USD)</t>
  </si>
  <si>
    <t xml:space="preserve">Valor con VPN = 0</t>
  </si>
  <si>
    <t xml:space="preserve">ARPU (USD/mes)</t>
  </si>
  <si>
    <t xml:space="preserve">Inputs!$B$25</t>
  </si>
  <si>
    <t xml:space="preserve">Edite Inputs (azul), luego lea NPV en Economics/Results.</t>
  </si>
  <si>
    <t xml:space="preserve">Crecimiento anual subs</t>
  </si>
  <si>
    <t xml:space="preserve">Inputs!$B$26</t>
  </si>
  <si>
    <t xml:space="preserve">CAPEX por sitio (USD)</t>
  </si>
  <si>
    <t xml:space="preserve">Inputs!$B$28</t>
  </si>
  <si>
    <t xml:space="preserve">No existe (VPN &lt; 0 aun con valor 0)</t>
  </si>
  <si>
    <t xml:space="preserve">OPEX por sitio/año (USD)</t>
  </si>
  <si>
    <t xml:space="preserve">Inputs!$B$32</t>
  </si>
  <si>
    <t xml:space="preserve">Resultados F–J: calculados editando Inputs una variable a la vez (resto en base). VPN base enlazado a Economics!B15.</t>
  </si>
  <si>
    <t xml:space="preserve">B. Sensibilidad frente al ARPU (PB60)</t>
  </si>
  <si>
    <t xml:space="preserve">VPN (USD)</t>
  </si>
  <si>
    <t xml:space="preserve">ROI simple</t>
  </si>
  <si>
    <t xml:space="preserve">Δ VPN vs base (USD)</t>
  </si>
  <si>
    <t xml:space="preserve">No hay Payback</t>
  </si>
  <si>
    <t xml:space="preserve">C. Sensibilidad frente al CAPEX por sitio – radio (PB61)</t>
  </si>
  <si>
    <t xml:space="preserve">CAPEX radio/sitio (USD)</t>
  </si>
  <si>
    <t xml:space="preserve">D. Sensibilidad frente al OPEX por sitio – radio (PB62)</t>
  </si>
  <si>
    <t xml:space="preserve">OPEX radio/sitio/año (USD)</t>
  </si>
  <si>
    <t xml:space="preserve">E. Sensibilidad complementaria: crecimiento anual de suscriptores</t>
  </si>
  <si>
    <t xml:space="preserve">Crecimiento anual</t>
  </si>
  <si>
    <t xml:space="preserve">F. Variable más crítica – variación normalizada ±20 % (PB63)</t>
  </si>
  <si>
    <t xml:space="preserve">Δ VPN con −20 % (USD)</t>
  </si>
  <si>
    <t xml:space="preserve">Δ VPN con +20 % (USD)</t>
  </si>
  <si>
    <t xml:space="preserve">Ranking</t>
  </si>
  <si>
    <t xml:space="preserve">ARPU</t>
  </si>
  <si>
    <t xml:space="preserve">CAPEX radio por sitio</t>
  </si>
  <si>
    <t xml:space="preserve">OPEX radio por sitio</t>
  </si>
  <si>
    <t xml:space="preserve">Crecimiento subs</t>
  </si>
  <si>
    <t xml:space="preserve">G. Conclusión técnico-económica (PB64)</t>
  </si>
  <si>
    <t xml:space="preserve">Diseño: 8 sitios, cobertura 95.7%, capacidad satisfecha 98.4% (cumple ≥85 % y ≥80 %).</t>
  </si>
  <si>
    <t xml:space="preserve">Escenario base: VPN = -598,598 USD, ROI simple = 25.0%, payback: No hay Payback en 5 años → no viable en condiciones comerciales.</t>
  </si>
  <si>
    <t xml:space="preserve">Variable más crítica: ARPU (mayor rango de VPN ante ±20 %). VPN = 0 requiere ARPU ≈ 22.47 USD/mes (+87% sobre el base).</t>
  </si>
  <si>
    <t xml:space="preserve">Ni con CAPEX ni con OPEX de radio en cero se alcanza VPN = 0: el problema es de ingresos, no solo de costos.</t>
  </si>
  <si>
    <t xml:space="preserve">Viabilidad condicionada a subsidio/cofinanciación ≈ 598,598 USD (valor presente) o a una combinación de mayor ARPU, más adopción y menor CAPEX.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</si>
</sst>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[RED]\(#,##0\);\-"/>
    <numFmt numFmtId="166" formatCode="0.0%"/>
    <numFmt numFmtId="167" formatCode="0.0&quot; Mbps&quot;"/>
    <numFmt numFmtId="168" formatCode="\$#,##0;[RED]&quot;($&quot;#,##0\);\-"/>
    <numFmt numFmtId="169" formatCode="0.000"/>
    <numFmt numFmtId="170" formatCode="0.00&quot; bps/Hz&quot;"/>
    <numFmt numFmtId="171" formatCode="General"/>
    <numFmt numFmtId="172" formatCode="#,##0;[RED]\-#,##0"/>
    <numFmt numFmtId="173" formatCode="#,##0.00"/>
    <numFmt numFmtId="174" formatCode="#,##0"/>
    <numFmt numFmtId="175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color rgb="FF555555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Arial"/>
      <family val="2"/>
    </font>
    <font>
      <sz val="11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DEBF7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9E9E9E"/>
      <rgbColor rgb="FF003366"/>
      <rgbColor rgb="FF339966"/>
      <rgbColor rgb="FF003300"/>
      <rgbColor rgb="FF333300"/>
      <rgbColor rgb="FF993300"/>
      <rgbColor rgb="FF993366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Tornado: Δ VPN ante ±20 %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Sensitivity!B48</c:f>
              <c:strCache>
                <c:ptCount val="1"/>
                <c:pt idx="0">
                  <c:v>Δ VPN con −20 % (USD)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Sensitivity!$A$49:$A$52</c:f>
              <c:strCache>
                <c:ptCount val="4"/>
                <c:pt idx="0">
                  <c:v>ARPU</c:v>
                </c:pt>
                <c:pt idx="1">
                  <c:v>CAPEX radio por sitio</c:v>
                </c:pt>
                <c:pt idx="2">
                  <c:v>OPEX radio por sitio</c:v>
                </c:pt>
                <c:pt idx="3">
                  <c:v>Crecimiento subs</c:v>
                </c:pt>
              </c:strCache>
            </c:strRef>
          </c:cat>
          <c:val>
            <c:numRef>
              <c:f>Sensitivity!$B$49:$B$52</c:f>
              <c:numCache>
                <c:formatCode>#,##0;[RED]\-#,##0</c:formatCode>
                <c:ptCount val="4"/>
                <c:pt idx="0">
                  <c:v>-137232.975106643</c:v>
                </c:pt>
                <c:pt idx="1">
                  <c:v>104000</c:v>
                </c:pt>
                <c:pt idx="2">
                  <c:v>66717.8471415888</c:v>
                </c:pt>
                <c:pt idx="3">
                  <c:v>-45421.9202743516</c:v>
                </c:pt>
              </c:numCache>
            </c:numRef>
          </c:val>
        </c:ser>
        <c:ser>
          <c:idx val="1"/>
          <c:order val="1"/>
          <c:tx>
            <c:strRef>
              <c:f>Sensitivity!C48</c:f>
              <c:strCache>
                <c:ptCount val="1"/>
                <c:pt idx="0">
                  <c:v>Δ VPN con +20 % (USD)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Sensitivity!$A$49:$A$52</c:f>
              <c:strCache>
                <c:ptCount val="4"/>
                <c:pt idx="0">
                  <c:v>ARPU</c:v>
                </c:pt>
                <c:pt idx="1">
                  <c:v>CAPEX radio por sitio</c:v>
                </c:pt>
                <c:pt idx="2">
                  <c:v>OPEX radio por sitio</c:v>
                </c:pt>
                <c:pt idx="3">
                  <c:v>Crecimiento subs</c:v>
                </c:pt>
              </c:strCache>
            </c:strRef>
          </c:cat>
          <c:val>
            <c:numRef>
              <c:f>Sensitivity!$C$49:$C$52</c:f>
              <c:numCache>
                <c:formatCode>#,##0;[RED]\-#,##0</c:formatCode>
                <c:ptCount val="4"/>
                <c:pt idx="0">
                  <c:v>137232.975106643</c:v>
                </c:pt>
                <c:pt idx="1">
                  <c:v>-104000</c:v>
                </c:pt>
                <c:pt idx="2">
                  <c:v>-66717.8471415886</c:v>
                </c:pt>
                <c:pt idx="3">
                  <c:v>48780.3944862508</c:v>
                </c:pt>
              </c:numCache>
            </c:numRef>
          </c:val>
        </c:ser>
        <c:gapWidth val="150"/>
        <c:overlap val="100"/>
        <c:axId val="59350507"/>
        <c:axId val="76162167"/>
      </c:barChart>
      <c:catAx>
        <c:axId val="593505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6162167"/>
        <c:crosses val="autoZero"/>
        <c:auto val="1"/>
        <c:lblAlgn val="ctr"/>
        <c:lblOffset val="100"/>
        <c:noMultiLvlLbl val="0"/>
      </c:catAx>
      <c:valAx>
        <c:axId val="761621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Δ VPN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93505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58680</xdr:colOff>
      <xdr:row>24</xdr:row>
      <xdr:rowOff>165960</xdr:rowOff>
    </xdr:to>
    <xdr:graphicFrame>
      <xdr:nvGraphicFramePr>
        <xdr:cNvPr id="0" name="Chart 1"/>
        <xdr:cNvGraphicFramePr/>
      </xdr:nvGraphicFramePr>
      <xdr:xfrm>
        <a:off x="9304200" y="26766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B11" activeCellId="0" sqref="B1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.44"/>
    <col collapsed="false" customWidth="true" hidden="false" outlineLevel="0" max="3" min="3" style="0" width="21.56"/>
    <col collapsed="false" customWidth="true" hidden="false" outlineLevel="0" max="4" min="4" style="0" width="60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4.25" hidden="false" customHeight="false" outlineLevel="0" collapsed="false">
      <c r="A3" s="2" t="s">
        <v>1</v>
      </c>
      <c r="B3" s="2"/>
      <c r="C3" s="2"/>
      <c r="D3" s="2"/>
      <c r="E3" s="2"/>
      <c r="F3" s="2"/>
    </row>
    <row r="5" customFormat="false" ht="21.75" hidden="false" customHeight="true" outlineLevel="0" collapsed="false">
      <c r="A5" s="3" t="s">
        <v>2</v>
      </c>
      <c r="B5" s="3"/>
      <c r="C5" s="3"/>
      <c r="D5" s="3"/>
      <c r="E5" s="3"/>
      <c r="F5" s="3"/>
    </row>
    <row r="6" customFormat="false" ht="14.25" hidden="false" customHeight="false" outlineLevel="0" collapsed="false">
      <c r="A6" s="4" t="s">
        <v>3</v>
      </c>
      <c r="B6" s="5" t="n">
        <v>20</v>
      </c>
      <c r="C6" s="6" t="s">
        <v>4</v>
      </c>
      <c r="D6" s="7"/>
      <c r="E6" s="8"/>
      <c r="F6" s="8"/>
    </row>
    <row r="7" customFormat="false" ht="14.25" hidden="false" customHeight="false" outlineLevel="0" collapsed="false">
      <c r="A7" s="4" t="s">
        <v>5</v>
      </c>
      <c r="B7" s="5" t="n">
        <v>10</v>
      </c>
      <c r="C7" s="6" t="s">
        <v>4</v>
      </c>
      <c r="D7" s="7"/>
      <c r="E7" s="8"/>
      <c r="F7" s="8"/>
    </row>
    <row r="8" customFormat="false" ht="14.25" hidden="false" customHeight="false" outlineLevel="0" collapsed="false">
      <c r="A8" s="4" t="s">
        <v>6</v>
      </c>
      <c r="B8" s="9" t="n">
        <f aca="false">B6*B7</f>
        <v>200</v>
      </c>
      <c r="C8" s="6" t="s">
        <v>7</v>
      </c>
      <c r="D8" s="7" t="s">
        <v>8</v>
      </c>
      <c r="E8" s="8"/>
      <c r="F8" s="8"/>
    </row>
    <row r="9" customFormat="false" ht="14.25" hidden="false" customHeight="false" outlineLevel="0" collapsed="false">
      <c r="A9" s="4" t="s">
        <v>9</v>
      </c>
      <c r="B9" s="10" t="n">
        <v>2400</v>
      </c>
      <c r="C9" s="6" t="s">
        <v>10</v>
      </c>
      <c r="D9" s="7"/>
      <c r="E9" s="8"/>
      <c r="F9" s="8"/>
    </row>
    <row r="10" customFormat="false" ht="14.25" hidden="false" customHeight="false" outlineLevel="0" collapsed="false">
      <c r="A10" s="4" t="s">
        <v>11</v>
      </c>
      <c r="B10" s="11" t="n">
        <v>0.3</v>
      </c>
      <c r="C10" s="6"/>
      <c r="D10" s="7"/>
      <c r="E10" s="8"/>
      <c r="F10" s="8"/>
    </row>
    <row r="11" customFormat="false" ht="14.25" hidden="false" customHeight="false" outlineLevel="0" collapsed="false">
      <c r="A11" s="4" t="s">
        <v>12</v>
      </c>
      <c r="B11" s="9" t="n">
        <f aca="false">B9*B10</f>
        <v>720</v>
      </c>
      <c r="C11" s="6" t="s">
        <v>13</v>
      </c>
      <c r="D11" s="7" t="s">
        <v>8</v>
      </c>
      <c r="E11" s="8"/>
      <c r="F11" s="8"/>
    </row>
    <row r="13" customFormat="false" ht="21.75" hidden="false" customHeight="true" outlineLevel="0" collapsed="false">
      <c r="A13" s="3" t="s">
        <v>14</v>
      </c>
      <c r="B13" s="3"/>
      <c r="C13" s="3"/>
      <c r="D13" s="3"/>
      <c r="E13" s="3"/>
      <c r="F13" s="3"/>
    </row>
    <row r="14" customFormat="false" ht="14.25" hidden="false" customHeight="false" outlineLevel="0" collapsed="false">
      <c r="A14" s="4" t="s">
        <v>15</v>
      </c>
      <c r="B14" s="12" t="n">
        <v>20</v>
      </c>
      <c r="C14" s="6" t="s">
        <v>16</v>
      </c>
      <c r="D14" s="7"/>
      <c r="E14" s="8"/>
      <c r="F14" s="8"/>
    </row>
    <row r="15" customFormat="false" ht="14.25" hidden="false" customHeight="false" outlineLevel="0" collapsed="false">
      <c r="A15" s="4" t="s">
        <v>17</v>
      </c>
      <c r="B15" s="11" t="n">
        <v>0.2</v>
      </c>
      <c r="C15" s="6"/>
      <c r="D15" s="7"/>
      <c r="E15" s="8"/>
      <c r="F15" s="8"/>
    </row>
    <row r="16" customFormat="false" ht="14.25" hidden="false" customHeight="false" outlineLevel="0" collapsed="false">
      <c r="A16" s="4" t="s">
        <v>18</v>
      </c>
      <c r="B16" s="13" t="n">
        <f aca="false">B11*B14*B15</f>
        <v>2880</v>
      </c>
      <c r="C16" s="6" t="s">
        <v>16</v>
      </c>
      <c r="D16" s="7" t="s">
        <v>19</v>
      </c>
      <c r="E16" s="8"/>
      <c r="F16" s="8"/>
    </row>
    <row r="18" customFormat="false" ht="21.75" hidden="false" customHeight="true" outlineLevel="0" collapsed="false">
      <c r="A18" s="3" t="s">
        <v>20</v>
      </c>
      <c r="B18" s="3"/>
      <c r="C18" s="3"/>
      <c r="D18" s="3"/>
      <c r="E18" s="3"/>
      <c r="F18" s="3"/>
    </row>
    <row r="19" customFormat="false" ht="14.25" hidden="false" customHeight="false" outlineLevel="0" collapsed="false">
      <c r="A19" s="14" t="s">
        <v>21</v>
      </c>
      <c r="B19" s="15" t="n">
        <v>8</v>
      </c>
      <c r="C19" s="6" t="s">
        <v>22</v>
      </c>
      <c r="D19" s="7" t="s">
        <v>23</v>
      </c>
      <c r="E19" s="8"/>
      <c r="F19" s="8"/>
    </row>
    <row r="20" customFormat="false" ht="14.25" hidden="false" customHeight="false" outlineLevel="0" collapsed="false">
      <c r="A20" s="14" t="s">
        <v>24</v>
      </c>
      <c r="B20" s="16" t="n">
        <v>0.956666666666667</v>
      </c>
      <c r="C20" s="6"/>
      <c r="D20" s="7" t="s">
        <v>25</v>
      </c>
      <c r="E20" s="8"/>
      <c r="F20" s="8"/>
    </row>
    <row r="21" customFormat="false" ht="14.25" hidden="false" customHeight="false" outlineLevel="0" collapsed="false">
      <c r="A21" s="14" t="s">
        <v>26</v>
      </c>
      <c r="B21" s="16" t="n">
        <v>0.984166666666667</v>
      </c>
      <c r="C21" s="6"/>
      <c r="D21" s="7" t="s">
        <v>27</v>
      </c>
      <c r="E21" s="8"/>
      <c r="F21" s="8"/>
    </row>
    <row r="22" customFormat="false" ht="14.25" hidden="false" customHeight="false" outlineLevel="0" collapsed="false">
      <c r="A22" s="4" t="s">
        <v>28</v>
      </c>
      <c r="B22" s="9" t="n">
        <f aca="false">B11*B21</f>
        <v>708.6</v>
      </c>
      <c r="C22" s="6" t="s">
        <v>13</v>
      </c>
      <c r="D22" s="7" t="s">
        <v>29</v>
      </c>
      <c r="E22" s="8"/>
      <c r="F22" s="8"/>
    </row>
    <row r="24" customFormat="false" ht="21.75" hidden="false" customHeight="true" outlineLevel="0" collapsed="false">
      <c r="A24" s="3" t="s">
        <v>30</v>
      </c>
      <c r="B24" s="3"/>
      <c r="C24" s="3"/>
      <c r="D24" s="3"/>
      <c r="E24" s="3"/>
      <c r="F24" s="3"/>
    </row>
    <row r="25" customFormat="false" ht="14.25" hidden="false" customHeight="false" outlineLevel="0" collapsed="false">
      <c r="A25" s="4" t="s">
        <v>31</v>
      </c>
      <c r="B25" s="17" t="n">
        <v>12</v>
      </c>
      <c r="C25" s="6" t="s">
        <v>32</v>
      </c>
      <c r="D25" s="7"/>
      <c r="E25" s="8"/>
      <c r="F25" s="8"/>
    </row>
    <row r="26" customFormat="false" ht="14.25" hidden="false" customHeight="false" outlineLevel="0" collapsed="false">
      <c r="A26" s="4" t="s">
        <v>33</v>
      </c>
      <c r="B26" s="16" t="n">
        <v>0.15</v>
      </c>
      <c r="C26" s="6"/>
      <c r="D26" s="7"/>
      <c r="E26" s="8"/>
      <c r="F26" s="8"/>
    </row>
    <row r="27" customFormat="false" ht="14.25" hidden="false" customHeight="false" outlineLevel="0" collapsed="false">
      <c r="A27" s="4" t="s">
        <v>34</v>
      </c>
      <c r="B27" s="17" t="n">
        <v>120</v>
      </c>
      <c r="C27" s="6" t="s">
        <v>35</v>
      </c>
      <c r="D27" s="7"/>
      <c r="E27" s="8"/>
      <c r="F27" s="8"/>
    </row>
    <row r="28" customFormat="false" ht="14.25" hidden="false" customHeight="false" outlineLevel="0" collapsed="false">
      <c r="A28" s="4" t="s">
        <v>36</v>
      </c>
      <c r="B28" s="17" t="n">
        <v>65000</v>
      </c>
      <c r="C28" s="6" t="s">
        <v>35</v>
      </c>
      <c r="D28" s="7"/>
      <c r="E28" s="8"/>
      <c r="F28" s="8"/>
    </row>
    <row r="29" customFormat="false" ht="14.25" hidden="false" customHeight="false" outlineLevel="0" collapsed="false">
      <c r="A29" s="4" t="s">
        <v>37</v>
      </c>
      <c r="B29" s="17" t="n">
        <v>12000</v>
      </c>
      <c r="C29" s="6" t="s">
        <v>35</v>
      </c>
      <c r="D29" s="7"/>
      <c r="E29" s="8"/>
      <c r="F29" s="8"/>
    </row>
    <row r="30" customFormat="false" ht="14.25" hidden="false" customHeight="false" outlineLevel="0" collapsed="false">
      <c r="A30" s="4" t="s">
        <v>38</v>
      </c>
      <c r="B30" s="17" t="n">
        <v>18000</v>
      </c>
      <c r="C30" s="6" t="s">
        <v>35</v>
      </c>
      <c r="D30" s="7"/>
      <c r="E30" s="8"/>
      <c r="F30" s="8"/>
    </row>
    <row r="31" customFormat="false" ht="14.25" hidden="false" customHeight="false" outlineLevel="0" collapsed="false">
      <c r="A31" s="4" t="s">
        <v>39</v>
      </c>
      <c r="B31" s="16" t="n">
        <v>1</v>
      </c>
      <c r="C31" s="6"/>
      <c r="D31" s="7" t="s">
        <v>40</v>
      </c>
      <c r="E31" s="8"/>
      <c r="F31" s="8"/>
    </row>
    <row r="32" customFormat="false" ht="14.25" hidden="false" customHeight="false" outlineLevel="0" collapsed="false">
      <c r="A32" s="4" t="s">
        <v>41</v>
      </c>
      <c r="B32" s="17" t="n">
        <v>11000</v>
      </c>
      <c r="C32" s="6" t="s">
        <v>42</v>
      </c>
      <c r="D32" s="7"/>
      <c r="E32" s="8"/>
      <c r="F32" s="8"/>
    </row>
    <row r="33" customFormat="false" ht="14.25" hidden="false" customHeight="false" outlineLevel="0" collapsed="false">
      <c r="A33" s="4" t="s">
        <v>43</v>
      </c>
      <c r="B33" s="17" t="n">
        <v>3500</v>
      </c>
      <c r="C33" s="6" t="s">
        <v>42</v>
      </c>
      <c r="D33" s="7"/>
      <c r="E33" s="8"/>
      <c r="F33" s="8"/>
    </row>
    <row r="34" customFormat="false" ht="14.25" hidden="false" customHeight="false" outlineLevel="0" collapsed="false">
      <c r="A34" s="4" t="s">
        <v>44</v>
      </c>
      <c r="B34" s="11" t="n">
        <v>0.1</v>
      </c>
      <c r="C34" s="6"/>
      <c r="D34" s="7"/>
      <c r="E34" s="8"/>
      <c r="F34" s="8"/>
    </row>
    <row r="35" customFormat="false" ht="14.25" hidden="false" customHeight="false" outlineLevel="0" collapsed="false">
      <c r="A35" s="4" t="s">
        <v>45</v>
      </c>
      <c r="B35" s="10" t="n">
        <v>5</v>
      </c>
      <c r="C35" s="6" t="s">
        <v>46</v>
      </c>
      <c r="D35" s="7"/>
      <c r="E35" s="8"/>
      <c r="F35" s="8"/>
    </row>
  </sheetData>
  <mergeCells count="6">
    <mergeCell ref="A1:F1"/>
    <mergeCell ref="A3:F3"/>
    <mergeCell ref="A5:F5"/>
    <mergeCell ref="A13:F13"/>
    <mergeCell ref="A18:F18"/>
    <mergeCell ref="A24:F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41.11"/>
    <col collapsed="false" customWidth="true" hidden="false" outlineLevel="0" max="7" min="2" style="0" width="14"/>
  </cols>
  <sheetData>
    <row r="1" customFormat="false" ht="18" hidden="false" customHeight="true" outlineLevel="0" collapsed="false">
      <c r="A1" s="1" t="s">
        <v>47</v>
      </c>
      <c r="B1" s="1"/>
      <c r="C1" s="1"/>
      <c r="D1" s="1"/>
      <c r="E1" s="1"/>
      <c r="F1" s="1"/>
      <c r="G1" s="1"/>
    </row>
    <row r="3" customFormat="false" ht="14.25" hidden="false" customHeight="false" outlineLevel="0" collapsed="false">
      <c r="A3" s="18" t="s">
        <v>48</v>
      </c>
      <c r="B3" s="18" t="s">
        <v>49</v>
      </c>
      <c r="C3" s="18" t="s">
        <v>50</v>
      </c>
      <c r="D3" s="18" t="s">
        <v>51</v>
      </c>
      <c r="E3" s="18" t="s">
        <v>52</v>
      </c>
      <c r="F3" s="18" t="s">
        <v>53</v>
      </c>
      <c r="G3" s="18" t="s">
        <v>54</v>
      </c>
    </row>
    <row r="5" customFormat="false" ht="14.25" hidden="false" customHeight="false" outlineLevel="0" collapsed="false">
      <c r="A5" s="19" t="s">
        <v>55</v>
      </c>
      <c r="B5" s="9" t="n">
        <f aca="false">Inputs!$B$22</f>
        <v>708.6</v>
      </c>
      <c r="C5" s="9" t="n">
        <f aca="false">B5*(1+Inputs!$B$26)</f>
        <v>814.89</v>
      </c>
      <c r="D5" s="9" t="n">
        <f aca="false">C5*(1+Inputs!$B$26)</f>
        <v>937.1235</v>
      </c>
      <c r="E5" s="9" t="n">
        <f aca="false">D5*(1+Inputs!$B$26)</f>
        <v>1077.692025</v>
      </c>
      <c r="F5" s="9" t="n">
        <f aca="false">E5*(1+Inputs!$B$26)</f>
        <v>1239.34582875</v>
      </c>
      <c r="G5" s="9" t="n">
        <f aca="false">F5*(1+Inputs!$B$26)</f>
        <v>1425.2477030625</v>
      </c>
    </row>
    <row r="6" customFormat="false" ht="14.25" hidden="false" customHeight="false" outlineLevel="0" collapsed="false">
      <c r="A6" s="19" t="s">
        <v>56</v>
      </c>
      <c r="B6" s="20" t="n">
        <f aca="false">B5*Inputs!$B$25*12</f>
        <v>102038.4</v>
      </c>
      <c r="C6" s="20" t="n">
        <f aca="false">C5*Inputs!$B$25*12</f>
        <v>117344.16</v>
      </c>
      <c r="D6" s="20" t="n">
        <f aca="false">D5*Inputs!$B$25*12</f>
        <v>134945.784</v>
      </c>
      <c r="E6" s="20" t="n">
        <f aca="false">E5*Inputs!$B$25*12</f>
        <v>155187.6516</v>
      </c>
      <c r="F6" s="20" t="n">
        <f aca="false">F5*Inputs!$B$25*12</f>
        <v>178465.79934</v>
      </c>
      <c r="G6" s="20" t="n">
        <f aca="false">G5*Inputs!$B$25*12</f>
        <v>205235.669241</v>
      </c>
    </row>
    <row r="7" customFormat="false" ht="14.25" hidden="false" customHeight="false" outlineLevel="0" collapsed="false">
      <c r="A7" s="19" t="s">
        <v>57</v>
      </c>
      <c r="B7" s="20" t="n">
        <f aca="false">+Inputs!B19*(Inputs!B28+Inputs!B29+Inputs!B30)</f>
        <v>760000</v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</row>
    <row r="8" customFormat="false" ht="14.25" hidden="false" customHeight="false" outlineLevel="0" collapsed="false">
      <c r="A8" s="19" t="s">
        <v>58</v>
      </c>
      <c r="B8" s="20" t="n">
        <f aca="false">IF(0=0,B5*Inputs!$B$27,0)</f>
        <v>85032</v>
      </c>
      <c r="C8" s="20" t="n">
        <f aca="false">IF(1=0,C5*Inputs!$B$27,0)</f>
        <v>0</v>
      </c>
      <c r="D8" s="20" t="n">
        <f aca="false">IF(2=0,D5*Inputs!$B$27,0)</f>
        <v>0</v>
      </c>
      <c r="E8" s="20" t="n">
        <f aca="false">IF(3=0,E5*Inputs!$B$27,0)</f>
        <v>0</v>
      </c>
      <c r="F8" s="20" t="n">
        <f aca="false">IF(4=0,F5*Inputs!$B$27,0)</f>
        <v>0</v>
      </c>
      <c r="G8" s="20" t="n">
        <f aca="false">IF(5=0,G5*Inputs!$B$27,0)</f>
        <v>0</v>
      </c>
    </row>
    <row r="9" customFormat="false" ht="14.25" hidden="false" customHeight="false" outlineLevel="0" collapsed="false">
      <c r="A9" s="19" t="s">
        <v>59</v>
      </c>
      <c r="B9" s="20" t="n">
        <v>0</v>
      </c>
      <c r="C9" s="20" t="n">
        <f aca="false">+Inputs!$B$19*(Inputs!$B$32+Inputs!$B$33)</f>
        <v>116000</v>
      </c>
      <c r="D9" s="20" t="n">
        <f aca="false">+Inputs!$B$19*(Inputs!$B$32+Inputs!$B$33)</f>
        <v>116000</v>
      </c>
      <c r="E9" s="20" t="n">
        <f aca="false">+Inputs!$B$19*(Inputs!$B$32+Inputs!$B$33)</f>
        <v>116000</v>
      </c>
      <c r="F9" s="20" t="n">
        <f aca="false">+Inputs!$B$19*(Inputs!$B$32+Inputs!$B$33)</f>
        <v>116000</v>
      </c>
      <c r="G9" s="20" t="n">
        <f aca="false">+Inputs!$B$19*(Inputs!$B$32+Inputs!$B$33)</f>
        <v>116000</v>
      </c>
    </row>
    <row r="10" customFormat="false" ht="14.25" hidden="false" customHeight="false" outlineLevel="0" collapsed="false">
      <c r="A10" s="4" t="s">
        <v>60</v>
      </c>
      <c r="B10" s="20" t="n">
        <f aca="false">B6-B7-B8-B9</f>
        <v>-742993.6</v>
      </c>
      <c r="C10" s="20" t="n">
        <f aca="false">C6-C7-C8-C9</f>
        <v>1344.16000000003</v>
      </c>
      <c r="D10" s="20" t="n">
        <f aca="false">D6-D7-D8-D9</f>
        <v>18945.784</v>
      </c>
      <c r="E10" s="20" t="n">
        <f aca="false">E6-E7-E8-E9</f>
        <v>39187.6516</v>
      </c>
      <c r="F10" s="20" t="n">
        <f aca="false">F6-F7-F8-F9</f>
        <v>62465.79934</v>
      </c>
      <c r="G10" s="20" t="n">
        <f aca="false">G6-G7-G8-G9</f>
        <v>89235.669241</v>
      </c>
    </row>
    <row r="11" customFormat="false" ht="14.25" hidden="false" customHeight="false" outlineLevel="0" collapsed="false">
      <c r="A11" s="19" t="s">
        <v>61</v>
      </c>
      <c r="B11" s="21" t="n">
        <f aca="false">1/(1+Inputs!$B$34)^0</f>
        <v>1</v>
      </c>
      <c r="C11" s="21" t="n">
        <f aca="false">1/(1+Inputs!$B$34)^1</f>
        <v>0.909090909090909</v>
      </c>
      <c r="D11" s="21" t="n">
        <f aca="false">1/(1+Inputs!$B$34)^2</f>
        <v>0.826446280991735</v>
      </c>
      <c r="E11" s="21" t="n">
        <f aca="false">1/(1+Inputs!$B$34)^3</f>
        <v>0.751314800901578</v>
      </c>
      <c r="F11" s="21" t="n">
        <f aca="false">1/(1+Inputs!$B$34)^4</f>
        <v>0.683013455365071</v>
      </c>
      <c r="G11" s="21" t="n">
        <f aca="false">1/(1+Inputs!$B$34)^5</f>
        <v>0.620921323059155</v>
      </c>
    </row>
    <row r="12" customFormat="false" ht="14.25" hidden="false" customHeight="false" outlineLevel="0" collapsed="false">
      <c r="A12" s="4" t="s">
        <v>62</v>
      </c>
      <c r="B12" s="20" t="n">
        <f aca="false">B10*B11</f>
        <v>-742993.6</v>
      </c>
      <c r="C12" s="20" t="n">
        <f aca="false">C10*C11</f>
        <v>1221.96363636367</v>
      </c>
      <c r="D12" s="20" t="n">
        <f aca="false">D10*D11</f>
        <v>15657.6727272727</v>
      </c>
      <c r="E12" s="20" t="n">
        <f aca="false">E10*E11</f>
        <v>29442.2626596544</v>
      </c>
      <c r="F12" s="20" t="n">
        <f aca="false">F10*F11</f>
        <v>42664.9814493546</v>
      </c>
      <c r="G12" s="20" t="n">
        <f aca="false">G10*G11</f>
        <v>55408.3298091908</v>
      </c>
    </row>
    <row r="14" customFormat="false" ht="21.75" hidden="false" customHeight="true" outlineLevel="0" collapsed="false">
      <c r="A14" s="3" t="s">
        <v>63</v>
      </c>
      <c r="B14" s="3"/>
      <c r="C14" s="3"/>
    </row>
    <row r="15" customFormat="false" ht="14.25" hidden="false" customHeight="false" outlineLevel="0" collapsed="false">
      <c r="A15" s="4" t="s">
        <v>64</v>
      </c>
      <c r="B15" s="20" t="n">
        <f aca="false">SUM(B12:G12)</f>
        <v>-598598.389718164</v>
      </c>
    </row>
    <row r="16" customFormat="false" ht="14.25" hidden="false" customHeight="false" outlineLevel="0" collapsed="false">
      <c r="A16" s="4" t="s">
        <v>65</v>
      </c>
      <c r="B16" s="22" t="n">
        <f aca="false">IF(B7+B8=0,0,SUM(C10:G10)/(B7+B8))</f>
        <v>0.249906588367068</v>
      </c>
    </row>
    <row r="17" customFormat="false" ht="14.25" hidden="false" customHeight="false" outlineLevel="0" collapsed="false">
      <c r="A17" s="4" t="s">
        <v>66</v>
      </c>
      <c r="B17" s="9" t="str">
        <f aca="false">Results!B20</f>
        <v>No hay Payback</v>
      </c>
    </row>
  </sheetData>
  <mergeCells count="2">
    <mergeCell ref="A1:G1"/>
    <mergeCell ref="A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C19" activeCellId="0" sqref="C19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56"/>
  </cols>
  <sheetData>
    <row r="1" customFormat="false" ht="18" hidden="false" customHeight="true" outlineLevel="0" collapsed="false">
      <c r="A1" s="1" t="s">
        <v>67</v>
      </c>
      <c r="B1" s="1"/>
      <c r="C1" s="1"/>
      <c r="D1" s="1"/>
    </row>
    <row r="3" customFormat="false" ht="21.75" hidden="false" customHeight="true" outlineLevel="0" collapsed="false">
      <c r="A3" s="3" t="s">
        <v>68</v>
      </c>
      <c r="B3" s="3"/>
      <c r="C3" s="3"/>
      <c r="D3" s="3"/>
    </row>
    <row r="4" customFormat="false" ht="14.25" hidden="false" customHeight="false" outlineLevel="0" collapsed="false">
      <c r="A4" s="4" t="s">
        <v>69</v>
      </c>
      <c r="B4" s="9" t="n">
        <f aca="false">+Inputs!B19</f>
        <v>8</v>
      </c>
      <c r="C4" s="8"/>
      <c r="D4" s="8"/>
    </row>
    <row r="5" customFormat="false" ht="14.25" hidden="false" customHeight="false" outlineLevel="0" collapsed="false">
      <c r="A5" s="4" t="s">
        <v>70</v>
      </c>
      <c r="B5" s="22" t="n">
        <f aca="false">+Inputs!B20</f>
        <v>0.956666666666667</v>
      </c>
      <c r="C5" s="8"/>
      <c r="D5" s="8"/>
    </row>
    <row r="6" customFormat="false" ht="14.25" hidden="false" customHeight="false" outlineLevel="0" collapsed="false">
      <c r="A6" s="4" t="s">
        <v>71</v>
      </c>
      <c r="B6" s="22" t="n">
        <f aca="false">+Inputs!B21</f>
        <v>0.984166666666667</v>
      </c>
      <c r="C6" s="8"/>
      <c r="D6" s="8"/>
    </row>
    <row r="7" customFormat="false" ht="14.25" hidden="false" customHeight="false" outlineLevel="0" collapsed="false">
      <c r="A7" s="4" t="s">
        <v>72</v>
      </c>
      <c r="B7" s="5" t="n">
        <v>7.63666527118357</v>
      </c>
      <c r="C7" s="8"/>
      <c r="D7" s="8"/>
    </row>
    <row r="8" customFormat="false" ht="14.25" hidden="false" customHeight="false" outlineLevel="0" collapsed="false">
      <c r="A8" s="4" t="s">
        <v>73</v>
      </c>
      <c r="B8" s="5" t="n">
        <v>-5.9595922871285</v>
      </c>
      <c r="C8" s="8"/>
      <c r="D8" s="8"/>
    </row>
    <row r="9" customFormat="false" ht="14.25" hidden="false" customHeight="false" outlineLevel="0" collapsed="false">
      <c r="A9" s="4" t="s">
        <v>74</v>
      </c>
      <c r="B9" s="23" t="n">
        <v>2.7738396411439</v>
      </c>
      <c r="C9" s="8"/>
      <c r="D9" s="8"/>
    </row>
    <row r="11" customFormat="false" ht="21.75" hidden="false" customHeight="true" outlineLevel="0" collapsed="false">
      <c r="A11" s="3" t="s">
        <v>75</v>
      </c>
      <c r="B11" s="3"/>
      <c r="C11" s="3"/>
      <c r="D11" s="3"/>
    </row>
    <row r="12" customFormat="false" ht="14.25" hidden="false" customHeight="false" outlineLevel="0" collapsed="false">
      <c r="A12" s="18" t="s">
        <v>76</v>
      </c>
      <c r="B12" s="18" t="s">
        <v>77</v>
      </c>
      <c r="C12" s="18" t="s">
        <v>78</v>
      </c>
    </row>
    <row r="13" customFormat="false" ht="14.25" hidden="false" customHeight="false" outlineLevel="0" collapsed="false">
      <c r="A13" s="8" t="n">
        <v>0</v>
      </c>
      <c r="B13" s="20" t="n">
        <f aca="false">Economics!B10</f>
        <v>-742993.6</v>
      </c>
      <c r="C13" s="20" t="n">
        <f aca="false">B13</f>
        <v>-742993.6</v>
      </c>
    </row>
    <row r="14" customFormat="false" ht="14.25" hidden="false" customHeight="false" outlineLevel="0" collapsed="false">
      <c r="A14" s="8" t="n">
        <v>1</v>
      </c>
      <c r="B14" s="20" t="n">
        <f aca="false">Economics!C10</f>
        <v>1344.16000000003</v>
      </c>
      <c r="C14" s="20" t="n">
        <f aca="false">C13+B14</f>
        <v>-741649.44</v>
      </c>
    </row>
    <row r="15" customFormat="false" ht="14.25" hidden="false" customHeight="false" outlineLevel="0" collapsed="false">
      <c r="A15" s="8" t="n">
        <v>2</v>
      </c>
      <c r="B15" s="20" t="n">
        <f aca="false">Economics!D10</f>
        <v>18945.784</v>
      </c>
      <c r="C15" s="20" t="n">
        <f aca="false">C14+B15</f>
        <v>-722703.656</v>
      </c>
    </row>
    <row r="16" customFormat="false" ht="14.25" hidden="false" customHeight="false" outlineLevel="0" collapsed="false">
      <c r="A16" s="8" t="n">
        <v>3</v>
      </c>
      <c r="B16" s="20" t="n">
        <f aca="false">Economics!E10</f>
        <v>39187.6516</v>
      </c>
      <c r="C16" s="20" t="n">
        <f aca="false">C15+B16</f>
        <v>-683516.0044</v>
      </c>
    </row>
    <row r="17" customFormat="false" ht="14.25" hidden="false" customHeight="false" outlineLevel="0" collapsed="false">
      <c r="A17" s="8" t="n">
        <v>4</v>
      </c>
      <c r="B17" s="20" t="n">
        <f aca="false">Economics!F10</f>
        <v>62465.79934</v>
      </c>
      <c r="C17" s="20" t="n">
        <f aca="false">C16+B17</f>
        <v>-621050.20506</v>
      </c>
    </row>
    <row r="18" customFormat="false" ht="14.25" hidden="false" customHeight="false" outlineLevel="0" collapsed="false">
      <c r="A18" s="8" t="n">
        <v>5</v>
      </c>
      <c r="B18" s="20" t="n">
        <f aca="false">Economics!G10</f>
        <v>89235.669241</v>
      </c>
      <c r="C18" s="20" t="n">
        <f aca="false">C17+B18</f>
        <v>-531814.535819</v>
      </c>
    </row>
    <row r="20" customFormat="false" ht="14.25" hidden="false" customHeight="false" outlineLevel="0" collapsed="false">
      <c r="A20" s="24" t="s">
        <v>66</v>
      </c>
      <c r="B20" s="25" t="str">
        <f aca="false" t="array" ref="B20:B20">IFERROR(INDEX(A13:A18, MATCH(TRUE(), C13:C18&gt;=0, 0)), "No hay Payback")</f>
        <v>No hay Payback</v>
      </c>
    </row>
    <row r="21" customFormat="false" ht="14.25" hidden="false" customHeight="false" outlineLevel="0" collapsed="false">
      <c r="A21" s="26"/>
      <c r="B21" s="26"/>
    </row>
    <row r="22" customFormat="false" ht="14.25" hidden="false" customHeight="false" outlineLevel="0" collapsed="false">
      <c r="A22" s="27" t="s">
        <v>64</v>
      </c>
      <c r="B22" s="28" t="n">
        <f aca="false">Economics!B15</f>
        <v>-598598.389718164</v>
      </c>
    </row>
    <row r="23" customFormat="false" ht="14.25" hidden="false" customHeight="false" outlineLevel="0" collapsed="false">
      <c r="A23" s="27" t="s">
        <v>65</v>
      </c>
      <c r="B23" s="29" t="n">
        <f aca="false">Economics!B16</f>
        <v>0.249906588367068</v>
      </c>
    </row>
  </sheetData>
  <mergeCells count="3">
    <mergeCell ref="A1:D1"/>
    <mergeCell ref="A3:D3"/>
    <mergeCell ref="A11:D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8"/>
    <col collapsed="false" customWidth="true" hidden="false" outlineLevel="0" max="5" min="5" style="0" width="30"/>
    <col collapsed="false" customWidth="true" hidden="false" outlineLevel="0" max="10" min="6" style="0" width="18"/>
  </cols>
  <sheetData>
    <row r="1" customFormat="false" ht="18" hidden="false" customHeight="true" outlineLevel="0" collapsed="false">
      <c r="A1" s="1" t="s">
        <v>79</v>
      </c>
      <c r="B1" s="1"/>
      <c r="C1" s="1"/>
      <c r="D1" s="1"/>
      <c r="E1" s="1"/>
    </row>
    <row r="3" customFormat="false" ht="21.75" hidden="false" customHeight="true" outlineLevel="0" collapsed="false">
      <c r="A3" s="3" t="s">
        <v>80</v>
      </c>
      <c r="B3" s="3"/>
      <c r="C3" s="3"/>
      <c r="D3" s="3"/>
      <c r="E3" s="3"/>
    </row>
    <row r="4" customFormat="false" ht="14.25" hidden="false" customHeight="false" outlineLevel="0" collapsed="false">
      <c r="A4" s="18" t="s">
        <v>81</v>
      </c>
      <c r="B4" s="18" t="s">
        <v>82</v>
      </c>
      <c r="C4" s="18" t="s">
        <v>83</v>
      </c>
      <c r="D4" s="18" t="s">
        <v>5</v>
      </c>
      <c r="E4" s="18" t="s">
        <v>84</v>
      </c>
      <c r="F4" s="30" t="s">
        <v>85</v>
      </c>
      <c r="G4" s="30" t="s">
        <v>86</v>
      </c>
      <c r="H4" s="30" t="s">
        <v>87</v>
      </c>
      <c r="I4" s="30" t="s">
        <v>88</v>
      </c>
      <c r="J4" s="30" t="s">
        <v>89</v>
      </c>
    </row>
    <row r="5" customFormat="false" ht="28.5" hidden="false" customHeight="true" outlineLevel="0" collapsed="false">
      <c r="A5" s="8" t="s">
        <v>90</v>
      </c>
      <c r="B5" s="5" t="n">
        <v>9</v>
      </c>
      <c r="C5" s="8" t="s">
        <v>91</v>
      </c>
      <c r="D5" s="5" t="n">
        <v>15</v>
      </c>
      <c r="E5" s="7" t="s">
        <v>92</v>
      </c>
      <c r="F5" s="31" t="n">
        <v>-770139.608601468</v>
      </c>
      <c r="G5" s="31" t="n">
        <f aca="false">Economics!$B$15</f>
        <v>-598598.389718164</v>
      </c>
      <c r="H5" s="31" t="n">
        <v>-427057.17083486</v>
      </c>
      <c r="I5" s="31" t="n">
        <f aca="false">ABS(H5-F5)</f>
        <v>343082.437766608</v>
      </c>
      <c r="J5" s="32" t="n">
        <v>22.4685928014545</v>
      </c>
    </row>
    <row r="6" customFormat="false" ht="28.5" hidden="false" customHeight="true" outlineLevel="0" collapsed="false">
      <c r="A6" s="8" t="s">
        <v>93</v>
      </c>
      <c r="B6" s="11" t="n">
        <v>0.03</v>
      </c>
      <c r="C6" s="8" t="s">
        <v>94</v>
      </c>
      <c r="D6" s="11" t="n">
        <v>0.15</v>
      </c>
      <c r="E6" s="7" t="s">
        <v>92</v>
      </c>
      <c r="F6" s="31" t="n">
        <v>-762053.386408606</v>
      </c>
      <c r="G6" s="31" t="n">
        <f aca="false">Economics!$B$15</f>
        <v>-598598.389718164</v>
      </c>
      <c r="H6" s="31" t="n">
        <v>-598598.389718164</v>
      </c>
      <c r="I6" s="31" t="n">
        <f aca="false">ABS(H6-F6)</f>
        <v>163454.996690442</v>
      </c>
      <c r="J6" s="33" t="n">
        <v>0.424244595927719</v>
      </c>
    </row>
    <row r="7" customFormat="false" ht="28.5" hidden="false" customHeight="true" outlineLevel="0" collapsed="false">
      <c r="A7" s="8" t="s">
        <v>95</v>
      </c>
      <c r="B7" s="5" t="n">
        <v>50000</v>
      </c>
      <c r="C7" s="8" t="s">
        <v>96</v>
      </c>
      <c r="D7" s="5" t="n">
        <v>85000</v>
      </c>
      <c r="E7" s="7" t="s">
        <v>92</v>
      </c>
      <c r="F7" s="31" t="n">
        <v>-478598.389718164</v>
      </c>
      <c r="G7" s="31" t="n">
        <f aca="false">Economics!$B$15</f>
        <v>-598598.389718164</v>
      </c>
      <c r="H7" s="31" t="n">
        <v>-758598.389718164</v>
      </c>
      <c r="I7" s="31" t="n">
        <f aca="false">ABS(H7-F7)</f>
        <v>280000</v>
      </c>
      <c r="J7" s="34" t="s">
        <v>97</v>
      </c>
    </row>
    <row r="8" customFormat="false" ht="28.5" hidden="false" customHeight="true" outlineLevel="0" collapsed="false">
      <c r="A8" s="8" t="s">
        <v>98</v>
      </c>
      <c r="B8" s="5" t="n">
        <v>8000</v>
      </c>
      <c r="C8" s="8" t="s">
        <v>99</v>
      </c>
      <c r="D8" s="5" t="n">
        <v>16000</v>
      </c>
      <c r="E8" s="7" t="s">
        <v>92</v>
      </c>
      <c r="F8" s="31" t="n">
        <v>-507619.507252361</v>
      </c>
      <c r="G8" s="31" t="n">
        <f aca="false">Economics!$B$15</f>
        <v>-598598.389718164</v>
      </c>
      <c r="H8" s="31" t="n">
        <v>-750229.860494502</v>
      </c>
      <c r="I8" s="31" t="n">
        <f aca="false">ABS(H8-F8)</f>
        <v>242610.353242141</v>
      </c>
      <c r="J8" s="34" t="s">
        <v>97</v>
      </c>
    </row>
    <row r="9" customFormat="false" ht="14.25" hidden="false" customHeight="false" outlineLevel="0" collapsed="false">
      <c r="A9" s="35" t="s">
        <v>100</v>
      </c>
    </row>
    <row r="11" customFormat="false" ht="14.25" hidden="false" customHeight="false" outlineLevel="0" collapsed="false">
      <c r="A11" s="36" t="s">
        <v>101</v>
      </c>
      <c r="B11" s="37"/>
      <c r="C11" s="37"/>
      <c r="D11" s="37"/>
      <c r="E11" s="37"/>
    </row>
    <row r="12" customFormat="false" ht="14.25" hidden="false" customHeight="false" outlineLevel="0" collapsed="false">
      <c r="A12" s="30" t="s">
        <v>90</v>
      </c>
      <c r="B12" s="30" t="s">
        <v>102</v>
      </c>
      <c r="C12" s="30" t="s">
        <v>103</v>
      </c>
      <c r="D12" s="30" t="s">
        <v>66</v>
      </c>
      <c r="E12" s="30" t="s">
        <v>104</v>
      </c>
    </row>
    <row r="13" customFormat="false" ht="14.25" hidden="false" customHeight="false" outlineLevel="0" collapsed="false">
      <c r="A13" s="32" t="n">
        <v>9</v>
      </c>
      <c r="B13" s="31" t="n">
        <v>-770139.608601468</v>
      </c>
      <c r="C13" s="33" t="n">
        <v>0.0158388062650291</v>
      </c>
      <c r="D13" s="34" t="s">
        <v>105</v>
      </c>
      <c r="E13" s="31" t="n">
        <v>-171541.218883304</v>
      </c>
    </row>
    <row r="14" customFormat="false" ht="14.25" hidden="false" customHeight="false" outlineLevel="0" collapsed="false">
      <c r="A14" s="32" t="n">
        <v>10.5</v>
      </c>
      <c r="B14" s="31" t="n">
        <v>-684368.999159816</v>
      </c>
      <c r="C14" s="33" t="n">
        <v>0.132872697316049</v>
      </c>
      <c r="D14" s="34" t="s">
        <v>105</v>
      </c>
      <c r="E14" s="31" t="n">
        <v>-85770.6094416517</v>
      </c>
    </row>
    <row r="15" customFormat="false" ht="14.25" hidden="false" customHeight="false" outlineLevel="0" collapsed="false">
      <c r="A15" s="38" t="n">
        <v>12</v>
      </c>
      <c r="B15" s="39" t="n">
        <v>-598598.389718164</v>
      </c>
      <c r="C15" s="40" t="n">
        <v>0.249906588367068</v>
      </c>
      <c r="D15" s="41" t="s">
        <v>105</v>
      </c>
      <c r="E15" s="39" t="n">
        <v>0</v>
      </c>
    </row>
    <row r="16" customFormat="false" ht="14.25" hidden="false" customHeight="false" outlineLevel="0" collapsed="false">
      <c r="A16" s="32" t="n">
        <v>13.5</v>
      </c>
      <c r="B16" s="31" t="n">
        <v>-512827.780276512</v>
      </c>
      <c r="C16" s="33" t="n">
        <v>0.366940479418087</v>
      </c>
      <c r="D16" s="34" t="s">
        <v>105</v>
      </c>
      <c r="E16" s="31" t="n">
        <v>85770.6094416523</v>
      </c>
    </row>
    <row r="17" customFormat="false" ht="14.25" hidden="false" customHeight="false" outlineLevel="0" collapsed="false">
      <c r="A17" s="32" t="n">
        <v>15</v>
      </c>
      <c r="B17" s="31" t="n">
        <v>-427057.17083486</v>
      </c>
      <c r="C17" s="33" t="n">
        <v>0.483974370469107</v>
      </c>
      <c r="D17" s="34" t="s">
        <v>105</v>
      </c>
      <c r="E17" s="31" t="n">
        <v>171541.218883304</v>
      </c>
    </row>
    <row r="18" customFormat="false" ht="14.25" hidden="false" customHeight="false" outlineLevel="0" collapsed="false">
      <c r="A18" s="32" t="n">
        <v>18</v>
      </c>
      <c r="B18" s="31" t="n">
        <v>-255515.951951556</v>
      </c>
      <c r="C18" s="33" t="n">
        <v>0.718042152571146</v>
      </c>
      <c r="D18" s="34" t="s">
        <v>105</v>
      </c>
      <c r="E18" s="31" t="n">
        <v>343082.437766608</v>
      </c>
    </row>
    <row r="19" customFormat="false" ht="14.25" hidden="false" customHeight="false" outlineLevel="0" collapsed="false">
      <c r="A19" s="32" t="n">
        <v>21</v>
      </c>
      <c r="B19" s="31" t="n">
        <v>-83974.7330682515</v>
      </c>
      <c r="C19" s="33" t="n">
        <v>0.952109934673184</v>
      </c>
      <c r="D19" s="34" t="n">
        <v>5</v>
      </c>
      <c r="E19" s="31" t="n">
        <v>514623.656649912</v>
      </c>
    </row>
    <row r="20" customFormat="false" ht="14.25" hidden="false" customHeight="false" outlineLevel="0" collapsed="false">
      <c r="A20" s="32" t="n">
        <v>22.47</v>
      </c>
      <c r="B20" s="31" t="n">
        <v>80.4641845673032</v>
      </c>
      <c r="C20" s="33" t="n">
        <v>1.06680314790318</v>
      </c>
      <c r="D20" s="34" t="n">
        <v>5</v>
      </c>
      <c r="E20" s="31" t="n">
        <v>598678.853902731</v>
      </c>
    </row>
    <row r="21" customFormat="false" ht="14.25" hidden="false" customHeight="false" outlineLevel="0" collapsed="false">
      <c r="A21" s="32" t="n">
        <v>24</v>
      </c>
      <c r="B21" s="31" t="n">
        <v>87566.4858150525</v>
      </c>
      <c r="C21" s="33" t="n">
        <v>1.18617771677522</v>
      </c>
      <c r="D21" s="34" t="n">
        <v>4</v>
      </c>
      <c r="E21" s="31" t="n">
        <v>686164.875533216</v>
      </c>
    </row>
    <row r="23" customFormat="false" ht="14.25" hidden="false" customHeight="false" outlineLevel="0" collapsed="false">
      <c r="A23" s="36" t="s">
        <v>106</v>
      </c>
      <c r="B23" s="37"/>
      <c r="C23" s="37"/>
      <c r="D23" s="37"/>
      <c r="E23" s="37"/>
    </row>
    <row r="24" customFormat="false" ht="14.25" hidden="false" customHeight="false" outlineLevel="0" collapsed="false">
      <c r="A24" s="30" t="s">
        <v>107</v>
      </c>
      <c r="B24" s="30" t="s">
        <v>102</v>
      </c>
      <c r="C24" s="30" t="s">
        <v>103</v>
      </c>
      <c r="D24" s="30" t="s">
        <v>66</v>
      </c>
      <c r="E24" s="30" t="s">
        <v>104</v>
      </c>
    </row>
    <row r="25" customFormat="false" ht="14.25" hidden="false" customHeight="false" outlineLevel="0" collapsed="false">
      <c r="A25" s="42" t="n">
        <v>50000</v>
      </c>
      <c r="B25" s="31" t="n">
        <v>-478598.389718164</v>
      </c>
      <c r="C25" s="33" t="n">
        <v>0.29126861184196</v>
      </c>
      <c r="D25" s="34" t="s">
        <v>105</v>
      </c>
      <c r="E25" s="31" t="n">
        <v>120000</v>
      </c>
    </row>
    <row r="26" customFormat="false" ht="14.25" hidden="false" customHeight="false" outlineLevel="0" collapsed="false">
      <c r="A26" s="42" t="n">
        <v>55000</v>
      </c>
      <c r="B26" s="31" t="n">
        <v>-518598.389718164</v>
      </c>
      <c r="C26" s="33" t="n">
        <v>0.276039517537829</v>
      </c>
      <c r="D26" s="34" t="s">
        <v>105</v>
      </c>
      <c r="E26" s="31" t="n">
        <v>80000.0000000001</v>
      </c>
    </row>
    <row r="27" customFormat="false" ht="14.25" hidden="false" customHeight="false" outlineLevel="0" collapsed="false">
      <c r="A27" s="43" t="n">
        <v>65000</v>
      </c>
      <c r="B27" s="39" t="n">
        <v>-598598.389718164</v>
      </c>
      <c r="C27" s="40" t="n">
        <v>0.249906588367068</v>
      </c>
      <c r="D27" s="41" t="s">
        <v>105</v>
      </c>
      <c r="E27" s="39" t="n">
        <v>0</v>
      </c>
    </row>
    <row r="28" customFormat="false" ht="14.25" hidden="false" customHeight="false" outlineLevel="0" collapsed="false">
      <c r="A28" s="42" t="n">
        <v>75000</v>
      </c>
      <c r="B28" s="31" t="n">
        <v>-678598.389718164</v>
      </c>
      <c r="C28" s="33" t="n">
        <v>0.22829379327526</v>
      </c>
      <c r="D28" s="34" t="s">
        <v>105</v>
      </c>
      <c r="E28" s="31" t="n">
        <v>-80000</v>
      </c>
    </row>
    <row r="29" customFormat="false" ht="14.25" hidden="false" customHeight="false" outlineLevel="0" collapsed="false">
      <c r="A29" s="42" t="n">
        <v>85000</v>
      </c>
      <c r="B29" s="31" t="n">
        <v>-758598.389718164</v>
      </c>
      <c r="C29" s="33" t="n">
        <v>0.210121731627451</v>
      </c>
      <c r="D29" s="34" t="s">
        <v>105</v>
      </c>
      <c r="E29" s="31" t="n">
        <v>-160000</v>
      </c>
    </row>
    <row r="31" customFormat="false" ht="14.25" hidden="false" customHeight="false" outlineLevel="0" collapsed="false">
      <c r="A31" s="36" t="s">
        <v>108</v>
      </c>
      <c r="B31" s="37"/>
      <c r="C31" s="37"/>
      <c r="D31" s="37"/>
      <c r="E31" s="37"/>
    </row>
    <row r="32" customFormat="false" ht="14.25" hidden="false" customHeight="false" outlineLevel="0" collapsed="false">
      <c r="A32" s="30" t="s">
        <v>109</v>
      </c>
      <c r="B32" s="30" t="s">
        <v>102</v>
      </c>
      <c r="C32" s="30" t="s">
        <v>103</v>
      </c>
      <c r="D32" s="30" t="s">
        <v>66</v>
      </c>
      <c r="E32" s="30" t="s">
        <v>104</v>
      </c>
    </row>
    <row r="33" customFormat="false" ht="14.25" hidden="false" customHeight="false" outlineLevel="0" collapsed="false">
      <c r="A33" s="42" t="n">
        <v>8000</v>
      </c>
      <c r="B33" s="31" t="n">
        <v>-507619.507252361</v>
      </c>
      <c r="C33" s="33" t="n">
        <v>0.391913044927293</v>
      </c>
      <c r="D33" s="34" t="s">
        <v>105</v>
      </c>
      <c r="E33" s="31" t="n">
        <v>90978.882465803</v>
      </c>
    </row>
    <row r="34" customFormat="false" ht="14.25" hidden="false" customHeight="false" outlineLevel="0" collapsed="false">
      <c r="A34" s="43" t="n">
        <v>11000</v>
      </c>
      <c r="B34" s="39" t="n">
        <v>-598598.389718164</v>
      </c>
      <c r="C34" s="40" t="n">
        <v>0.249906588367068</v>
      </c>
      <c r="D34" s="41" t="s">
        <v>105</v>
      </c>
      <c r="E34" s="39" t="n">
        <v>0</v>
      </c>
    </row>
    <row r="35" customFormat="false" ht="14.25" hidden="false" customHeight="false" outlineLevel="0" collapsed="false">
      <c r="A35" s="42" t="n">
        <v>12000</v>
      </c>
      <c r="B35" s="31" t="n">
        <v>-628924.683873431</v>
      </c>
      <c r="C35" s="33" t="n">
        <v>0.202571102846993</v>
      </c>
      <c r="D35" s="34" t="s">
        <v>105</v>
      </c>
      <c r="E35" s="31" t="n">
        <v>-30326.2941552674</v>
      </c>
    </row>
    <row r="36" customFormat="false" ht="14.25" hidden="false" customHeight="false" outlineLevel="0" collapsed="false">
      <c r="A36" s="42" t="n">
        <v>14000</v>
      </c>
      <c r="B36" s="31" t="n">
        <v>-689577.272183967</v>
      </c>
      <c r="C36" s="33" t="n">
        <v>0.107900131806843</v>
      </c>
      <c r="D36" s="34" t="s">
        <v>105</v>
      </c>
      <c r="E36" s="31" t="n">
        <v>-90978.8824658026</v>
      </c>
    </row>
    <row r="37" customFormat="false" ht="14.25" hidden="false" customHeight="false" outlineLevel="0" collapsed="false">
      <c r="A37" s="42" t="n">
        <v>16000</v>
      </c>
      <c r="B37" s="31" t="n">
        <v>-750229.860494502</v>
      </c>
      <c r="C37" s="33" t="n">
        <v>0.013229160766693</v>
      </c>
      <c r="D37" s="34" t="s">
        <v>105</v>
      </c>
      <c r="E37" s="31" t="n">
        <v>-151631.470776338</v>
      </c>
    </row>
    <row r="39" customFormat="false" ht="14.25" hidden="false" customHeight="false" outlineLevel="0" collapsed="false">
      <c r="A39" s="36" t="s">
        <v>110</v>
      </c>
      <c r="B39" s="37"/>
      <c r="C39" s="37"/>
      <c r="D39" s="37"/>
      <c r="E39" s="37"/>
    </row>
    <row r="40" customFormat="false" ht="14.25" hidden="false" customHeight="false" outlineLevel="0" collapsed="false">
      <c r="A40" s="30" t="s">
        <v>111</v>
      </c>
      <c r="B40" s="30" t="s">
        <v>102</v>
      </c>
      <c r="C40" s="30" t="s">
        <v>103</v>
      </c>
      <c r="D40" s="30" t="s">
        <v>66</v>
      </c>
      <c r="E40" s="30" t="s">
        <v>104</v>
      </c>
    </row>
    <row r="41" customFormat="false" ht="14.25" hidden="false" customHeight="false" outlineLevel="0" collapsed="false">
      <c r="A41" s="44" t="n">
        <v>0.03</v>
      </c>
      <c r="B41" s="31" t="n">
        <v>-762053.386408606</v>
      </c>
      <c r="C41" s="33" t="n">
        <v>-0.0260489601125669</v>
      </c>
      <c r="D41" s="34" t="s">
        <v>105</v>
      </c>
      <c r="E41" s="31" t="n">
        <v>-163454.996690442</v>
      </c>
    </row>
    <row r="42" customFormat="false" ht="14.25" hidden="false" customHeight="false" outlineLevel="0" collapsed="false">
      <c r="A42" s="44" t="n">
        <v>0.08</v>
      </c>
      <c r="B42" s="31" t="n">
        <v>-699696.018599358</v>
      </c>
      <c r="C42" s="33" t="n">
        <v>0.0787047844680597</v>
      </c>
      <c r="D42" s="34" t="s">
        <v>105</v>
      </c>
      <c r="E42" s="31" t="n">
        <v>-101097.628881194</v>
      </c>
    </row>
    <row r="43" customFormat="false" ht="14.25" hidden="false" customHeight="false" outlineLevel="0" collapsed="false">
      <c r="A43" s="45" t="n">
        <v>0.15</v>
      </c>
      <c r="B43" s="39" t="n">
        <v>-598598.389718164</v>
      </c>
      <c r="C43" s="40" t="n">
        <v>0.249906588367068</v>
      </c>
      <c r="D43" s="41" t="s">
        <v>105</v>
      </c>
      <c r="E43" s="39" t="n">
        <v>0</v>
      </c>
    </row>
    <row r="44" customFormat="false" ht="14.25" hidden="false" customHeight="false" outlineLevel="0" collapsed="false">
      <c r="A44" s="44" t="n">
        <v>0.2</v>
      </c>
      <c r="B44" s="31" t="n">
        <v>-515331.347143451</v>
      </c>
      <c r="C44" s="33" t="n">
        <v>0.391931606055156</v>
      </c>
      <c r="D44" s="34" t="s">
        <v>105</v>
      </c>
      <c r="E44" s="31" t="n">
        <v>83267.0425747125</v>
      </c>
    </row>
    <row r="45" customFormat="false" ht="14.25" hidden="false" customHeight="false" outlineLevel="0" collapsed="false">
      <c r="A45" s="44" t="n">
        <v>0.25</v>
      </c>
      <c r="B45" s="31" t="n">
        <v>-421772.222967259</v>
      </c>
      <c r="C45" s="33" t="n">
        <v>0.552393781389344</v>
      </c>
      <c r="D45" s="34" t="s">
        <v>105</v>
      </c>
      <c r="E45" s="31" t="n">
        <v>176826.166750905</v>
      </c>
    </row>
    <row r="47" customFormat="false" ht="14.25" hidden="false" customHeight="false" outlineLevel="0" collapsed="false">
      <c r="A47" s="36" t="s">
        <v>112</v>
      </c>
      <c r="B47" s="37"/>
      <c r="C47" s="37"/>
      <c r="D47" s="37"/>
      <c r="E47" s="37"/>
    </row>
    <row r="48" customFormat="false" ht="28.35" hidden="false" customHeight="false" outlineLevel="0" collapsed="false">
      <c r="A48" s="30" t="s">
        <v>81</v>
      </c>
      <c r="B48" s="30" t="s">
        <v>113</v>
      </c>
      <c r="C48" s="30" t="s">
        <v>114</v>
      </c>
      <c r="D48" s="30" t="s">
        <v>88</v>
      </c>
      <c r="E48" s="30" t="s">
        <v>115</v>
      </c>
    </row>
    <row r="49" customFormat="false" ht="14.25" hidden="false" customHeight="false" outlineLevel="0" collapsed="false">
      <c r="A49" s="46" t="s">
        <v>116</v>
      </c>
      <c r="B49" s="31" t="n">
        <v>-137232.975106643</v>
      </c>
      <c r="C49" s="31" t="n">
        <v>137232.975106643</v>
      </c>
      <c r="D49" s="31" t="n">
        <v>274465.950213286</v>
      </c>
      <c r="E49" s="34" t="n">
        <v>1</v>
      </c>
    </row>
    <row r="50" customFormat="false" ht="14.25" hidden="false" customHeight="false" outlineLevel="0" collapsed="false">
      <c r="A50" s="34" t="s">
        <v>117</v>
      </c>
      <c r="B50" s="31" t="n">
        <v>104000</v>
      </c>
      <c r="C50" s="31" t="n">
        <v>-104000</v>
      </c>
      <c r="D50" s="31" t="n">
        <v>208000</v>
      </c>
      <c r="E50" s="34" t="n">
        <v>2</v>
      </c>
    </row>
    <row r="51" customFormat="false" ht="14.25" hidden="false" customHeight="false" outlineLevel="0" collapsed="false">
      <c r="A51" s="34" t="s">
        <v>118</v>
      </c>
      <c r="B51" s="31" t="n">
        <v>66717.8471415888</v>
      </c>
      <c r="C51" s="31" t="n">
        <v>-66717.8471415886</v>
      </c>
      <c r="D51" s="31" t="n">
        <v>133435.694283177</v>
      </c>
      <c r="E51" s="34" t="n">
        <v>3</v>
      </c>
    </row>
    <row r="52" customFormat="false" ht="14.25" hidden="false" customHeight="false" outlineLevel="0" collapsed="false">
      <c r="A52" s="34" t="s">
        <v>119</v>
      </c>
      <c r="B52" s="31" t="n">
        <v>-45421.9202743516</v>
      </c>
      <c r="C52" s="31" t="n">
        <v>48780.3944862508</v>
      </c>
      <c r="D52" s="31" t="n">
        <v>94202.3147606024</v>
      </c>
      <c r="E52" s="34" t="n">
        <v>4</v>
      </c>
    </row>
    <row r="54" customFormat="false" ht="14.25" hidden="false" customHeight="false" outlineLevel="0" collapsed="false">
      <c r="A54" s="36" t="s">
        <v>120</v>
      </c>
      <c r="B54" s="37"/>
      <c r="C54" s="37"/>
      <c r="D54" s="37"/>
      <c r="E54" s="37"/>
    </row>
    <row r="55" customFormat="false" ht="14.25" hidden="false" customHeight="false" outlineLevel="0" collapsed="false">
      <c r="A55" s="0" t="s">
        <v>121</v>
      </c>
    </row>
    <row r="56" customFormat="false" ht="14.25" hidden="false" customHeight="false" outlineLevel="0" collapsed="false">
      <c r="A56" s="0" t="s">
        <v>122</v>
      </c>
    </row>
    <row r="57" customFormat="false" ht="14.25" hidden="false" customHeight="false" outlineLevel="0" collapsed="false">
      <c r="A57" s="0" t="s">
        <v>123</v>
      </c>
    </row>
    <row r="58" customFormat="false" ht="14.25" hidden="false" customHeight="false" outlineLevel="0" collapsed="false">
      <c r="A58" s="0" t="s">
        <v>124</v>
      </c>
    </row>
    <row r="59" customFormat="false" ht="14.25" hidden="false" customHeight="false" outlineLevel="0" collapsed="false">
      <c r="A59" s="0" t="s">
        <v>125</v>
      </c>
    </row>
  </sheetData>
  <mergeCells count="2">
    <mergeCell ref="A1:E1"/>
    <mergeCell ref="A3:E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2026-08-06T18:07:50Z</dcterms:created>
  <dc:creator/>
  <dc:description/>
  <dc:language>en-US</dc:language>
  <cp:lastModifiedBy/>
  <dcterms:modified xsi:type="dcterms:W3CDTF">2026-10-21T23:03:55Z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